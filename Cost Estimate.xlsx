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lhhua2_cougarnet_uh_edu/Documents/ITPM/"/>
    </mc:Choice>
  </mc:AlternateContent>
  <xr:revisionPtr revIDLastSave="766" documentId="13_ncr:1_{3EC15E20-C15F-47FF-BD5F-FACB68772142}" xr6:coauthVersionLast="47" xr6:coauthVersionMax="47" xr10:uidLastSave="{DDFD5C2C-A4D8-2F4C-9409-C9DE5AC5F260}"/>
  <bookViews>
    <workbookView xWindow="0" yWindow="500" windowWidth="25100" windowHeight="16980" xr2:uid="{1524BA7E-84AE-4032-93D3-DD14512B95A8}"/>
  </bookViews>
  <sheets>
    <sheet name="CostEstimate_Template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8" i="4" l="1"/>
  <c r="E11" i="4"/>
  <c r="D11" i="4"/>
  <c r="E31" i="4"/>
  <c r="D31" i="4"/>
  <c r="E51" i="4"/>
  <c r="D51" i="4"/>
  <c r="E70" i="4"/>
  <c r="D70" i="4"/>
  <c r="E94" i="4"/>
  <c r="D94" i="4"/>
  <c r="E89" i="4"/>
  <c r="D89" i="4"/>
  <c r="E81" i="4"/>
  <c r="D81" i="4"/>
  <c r="E78" i="4"/>
  <c r="D78" i="4"/>
  <c r="E74" i="4"/>
  <c r="D74" i="4"/>
  <c r="D4" i="4"/>
  <c r="F4" i="4" s="1"/>
  <c r="D5" i="4"/>
  <c r="E5" i="4" s="1"/>
  <c r="G5" i="4" s="1"/>
  <c r="D6" i="4"/>
  <c r="F6" i="4" s="1"/>
  <c r="D7" i="4"/>
  <c r="E7" i="4" s="1"/>
  <c r="G7" i="4" s="1"/>
  <c r="D8" i="4"/>
  <c r="E8" i="4" s="1"/>
  <c r="G8" i="4" s="1"/>
  <c r="D9" i="4"/>
  <c r="E9" i="4" s="1"/>
  <c r="G9" i="4" s="1"/>
  <c r="D10" i="4"/>
  <c r="E10" i="4" s="1"/>
  <c r="G10" i="4" s="1"/>
  <c r="D13" i="4"/>
  <c r="E13" i="4" s="1"/>
  <c r="G13" i="4" s="1"/>
  <c r="D14" i="4"/>
  <c r="E14" i="4" s="1"/>
  <c r="G14" i="4" s="1"/>
  <c r="D15" i="4"/>
  <c r="E15" i="4" s="1"/>
  <c r="G15" i="4" s="1"/>
  <c r="D17" i="4"/>
  <c r="E17" i="4" s="1"/>
  <c r="D18" i="4"/>
  <c r="E18" i="4" s="1"/>
  <c r="G18" i="4" s="1"/>
  <c r="D20" i="4"/>
  <c r="F20" i="4" s="1"/>
  <c r="D21" i="4"/>
  <c r="E21" i="4" s="1"/>
  <c r="D22" i="4"/>
  <c r="E22" i="4" s="1"/>
  <c r="G22" i="4" s="1"/>
  <c r="D24" i="4"/>
  <c r="E24" i="4" s="1"/>
  <c r="D25" i="4"/>
  <c r="E25" i="4" s="1"/>
  <c r="G25" i="4" s="1"/>
  <c r="D27" i="4"/>
  <c r="F27" i="4" s="1"/>
  <c r="D28" i="4"/>
  <c r="F28" i="4" s="1"/>
  <c r="D29" i="4"/>
  <c r="E29" i="4" s="1"/>
  <c r="G29" i="4" s="1"/>
  <c r="D30" i="4"/>
  <c r="E30" i="4" s="1"/>
  <c r="G30" i="4" s="1"/>
  <c r="D33" i="4"/>
  <c r="E33" i="4" s="1"/>
  <c r="G33" i="4" s="1"/>
  <c r="D34" i="4"/>
  <c r="F34" i="4" s="1"/>
  <c r="D36" i="4"/>
  <c r="E36" i="4" s="1"/>
  <c r="G36" i="4" s="1"/>
  <c r="D37" i="4"/>
  <c r="E37" i="4" s="1"/>
  <c r="G37" i="4" s="1"/>
  <c r="D39" i="4"/>
  <c r="F39" i="4" s="1"/>
  <c r="D40" i="4"/>
  <c r="E40" i="4" s="1"/>
  <c r="G40" i="4" s="1"/>
  <c r="D42" i="4"/>
  <c r="E42" i="4" s="1"/>
  <c r="D43" i="4"/>
  <c r="E43" i="4" s="1"/>
  <c r="G43" i="4" s="1"/>
  <c r="D45" i="4"/>
  <c r="F45" i="4" s="1"/>
  <c r="D46" i="4"/>
  <c r="F46" i="4" s="1"/>
  <c r="D48" i="4"/>
  <c r="E48" i="4" s="1"/>
  <c r="G48" i="4" s="1"/>
  <c r="D49" i="4"/>
  <c r="E49" i="4" s="1"/>
  <c r="G49" i="4" s="1"/>
  <c r="D50" i="4"/>
  <c r="E50" i="4" s="1"/>
  <c r="G50" i="4" s="1"/>
  <c r="D53" i="4"/>
  <c r="E53" i="4" s="1"/>
  <c r="G53" i="4" s="1"/>
  <c r="D54" i="4"/>
  <c r="E54" i="4" s="1"/>
  <c r="G54" i="4" s="1"/>
  <c r="D56" i="4"/>
  <c r="F56" i="4" s="1"/>
  <c r="D57" i="4"/>
  <c r="E57" i="4" s="1"/>
  <c r="G57" i="4" s="1"/>
  <c r="D59" i="4"/>
  <c r="E59" i="4" s="1"/>
  <c r="G59" i="4" s="1"/>
  <c r="D60" i="4"/>
  <c r="E60" i="4" s="1"/>
  <c r="G60" i="4" s="1"/>
  <c r="D62" i="4"/>
  <c r="E62" i="4" s="1"/>
  <c r="G62" i="4" s="1"/>
  <c r="D63" i="4"/>
  <c r="E63" i="4" s="1"/>
  <c r="G63" i="4" s="1"/>
  <c r="D65" i="4"/>
  <c r="E65" i="4" s="1"/>
  <c r="G65" i="4" s="1"/>
  <c r="D66" i="4"/>
  <c r="E66" i="4" s="1"/>
  <c r="G66" i="4" s="1"/>
  <c r="D68" i="4"/>
  <c r="E68" i="4" s="1"/>
  <c r="G68" i="4" s="1"/>
  <c r="D69" i="4"/>
  <c r="F69" i="4" s="1"/>
  <c r="D72" i="4"/>
  <c r="E72" i="4" s="1"/>
  <c r="G72" i="4" s="1"/>
  <c r="D73" i="4"/>
  <c r="E73" i="4" s="1"/>
  <c r="G73" i="4" s="1"/>
  <c r="D75" i="4"/>
  <c r="E75" i="4" s="1"/>
  <c r="G75" i="4" s="1"/>
  <c r="D76" i="4"/>
  <c r="E76" i="4" s="1"/>
  <c r="G76" i="4" s="1"/>
  <c r="D77" i="4"/>
  <c r="E77" i="4" s="1"/>
  <c r="G77" i="4" s="1"/>
  <c r="D79" i="4"/>
  <c r="E79" i="4" s="1"/>
  <c r="G79" i="4" s="1"/>
  <c r="D80" i="4"/>
  <c r="E80" i="4" s="1"/>
  <c r="G80" i="4" s="1"/>
  <c r="D82" i="4"/>
  <c r="E82" i="4" s="1"/>
  <c r="G82" i="4" s="1"/>
  <c r="D83" i="4"/>
  <c r="E83" i="4" s="1"/>
  <c r="G83" i="4" s="1"/>
  <c r="D84" i="4"/>
  <c r="E84" i="4" s="1"/>
  <c r="G84" i="4" s="1"/>
  <c r="D85" i="4"/>
  <c r="D87" i="4"/>
  <c r="E87" i="4" s="1"/>
  <c r="G87" i="4" s="1"/>
  <c r="D88" i="4"/>
  <c r="E88" i="4" s="1"/>
  <c r="G88" i="4" s="1"/>
  <c r="D90" i="4"/>
  <c r="E90" i="4" s="1"/>
  <c r="G90" i="4" s="1"/>
  <c r="D91" i="4"/>
  <c r="E91" i="4" s="1"/>
  <c r="G91" i="4" s="1"/>
  <c r="D92" i="4"/>
  <c r="E92" i="4" s="1"/>
  <c r="G92" i="4" s="1"/>
  <c r="D93" i="4"/>
  <c r="E93" i="4" s="1"/>
  <c r="G93" i="4" s="1"/>
  <c r="D95" i="4"/>
  <c r="E95" i="4" s="1"/>
  <c r="G95" i="4" s="1"/>
  <c r="D96" i="4"/>
  <c r="E96" i="4" s="1"/>
  <c r="G96" i="4" s="1"/>
  <c r="D3" i="4"/>
  <c r="E3" i="4" s="1"/>
  <c r="G3" i="4" s="1"/>
  <c r="E28" i="4"/>
  <c r="G28" i="4" s="1"/>
  <c r="E85" i="4"/>
  <c r="H99" i="4"/>
  <c r="F47" i="4" l="1"/>
  <c r="E69" i="4"/>
  <c r="G69" i="4" s="1"/>
  <c r="E39" i="4"/>
  <c r="G39" i="4" s="1"/>
  <c r="G85" i="4"/>
  <c r="H85" i="4" s="1"/>
  <c r="G97" i="4"/>
  <c r="H97" i="4" s="1"/>
  <c r="F63" i="4"/>
  <c r="F76" i="4"/>
  <c r="F82" i="4"/>
  <c r="F88" i="4"/>
  <c r="E56" i="4"/>
  <c r="G56" i="4" s="1"/>
  <c r="E45" i="4"/>
  <c r="G45" i="4" s="1"/>
  <c r="F53" i="4"/>
  <c r="F59" i="4"/>
  <c r="F65" i="4"/>
  <c r="F72" i="4"/>
  <c r="F77" i="4"/>
  <c r="F84" i="4"/>
  <c r="F90" i="4"/>
  <c r="F95" i="4"/>
  <c r="F83" i="4"/>
  <c r="F54" i="4"/>
  <c r="F60" i="4"/>
  <c r="F66" i="4"/>
  <c r="F73" i="4"/>
  <c r="F79" i="4"/>
  <c r="F93" i="4"/>
  <c r="F96" i="4"/>
  <c r="F92" i="4"/>
  <c r="F62" i="4"/>
  <c r="F68" i="4"/>
  <c r="F75" i="4"/>
  <c r="F80" i="4"/>
  <c r="F87" i="4"/>
  <c r="F89" i="4" s="1"/>
  <c r="F91" i="4"/>
  <c r="F57" i="4"/>
  <c r="F58" i="4" s="1"/>
  <c r="F8" i="4"/>
  <c r="F14" i="4"/>
  <c r="F36" i="4"/>
  <c r="F42" i="4"/>
  <c r="F48" i="4"/>
  <c r="F7" i="4"/>
  <c r="G42" i="4"/>
  <c r="F50" i="4"/>
  <c r="G21" i="4"/>
  <c r="F37" i="4"/>
  <c r="F43" i="4"/>
  <c r="F49" i="4"/>
  <c r="F5" i="4"/>
  <c r="F17" i="4"/>
  <c r="F22" i="4"/>
  <c r="F33" i="4"/>
  <c r="F35" i="4" s="1"/>
  <c r="G17" i="4"/>
  <c r="F21" i="4"/>
  <c r="F23" i="4" s="1"/>
  <c r="F3" i="4"/>
  <c r="F13" i="4"/>
  <c r="F18" i="4"/>
  <c r="F24" i="4"/>
  <c r="E34" i="4"/>
  <c r="F10" i="4"/>
  <c r="G24" i="4"/>
  <c r="F30" i="4"/>
  <c r="F40" i="4"/>
  <c r="F41" i="4" s="1"/>
  <c r="F9" i="4"/>
  <c r="F15" i="4"/>
  <c r="F25" i="4"/>
  <c r="F29" i="4"/>
  <c r="E4" i="4"/>
  <c r="G4" i="4" s="1"/>
  <c r="E46" i="4"/>
  <c r="E20" i="4"/>
  <c r="G20" i="4" s="1"/>
  <c r="E27" i="4"/>
  <c r="G27" i="4" s="1"/>
  <c r="E6" i="4"/>
  <c r="G6" i="4" s="1"/>
  <c r="G70" i="4" l="1"/>
  <c r="H70" i="4" s="1"/>
  <c r="F81" i="4"/>
  <c r="F19" i="4"/>
  <c r="F78" i="4"/>
  <c r="F67" i="4"/>
  <c r="F74" i="4"/>
  <c r="F94" i="4"/>
  <c r="F38" i="4"/>
  <c r="F61" i="4"/>
  <c r="F55" i="4"/>
  <c r="F26" i="4"/>
  <c r="F64" i="4"/>
  <c r="F16" i="4"/>
  <c r="F44" i="4"/>
  <c r="G31" i="4"/>
  <c r="G11" i="4"/>
  <c r="G34" i="4"/>
  <c r="G46" i="4"/>
  <c r="H11" i="4" l="1"/>
  <c r="G51" i="4"/>
  <c r="H51" i="4" s="1"/>
  <c r="H31" i="4"/>
  <c r="G100" i="4" l="1"/>
  <c r="H100" i="4" s="1"/>
</calcChain>
</file>

<file path=xl/sharedStrings.xml><?xml version="1.0" encoding="utf-8"?>
<sst xmlns="http://schemas.openxmlformats.org/spreadsheetml/2006/main" count="159" uniqueCount="71">
  <si>
    <t>Activity</t>
  </si>
  <si>
    <t>Resource</t>
  </si>
  <si>
    <t>Hourly Rate</t>
  </si>
  <si>
    <t>Cost per Role</t>
  </si>
  <si>
    <t xml:space="preserve">Cost per Activity </t>
  </si>
  <si>
    <t>Cost per Phase</t>
  </si>
  <si>
    <t>% of Total Cost per Phase</t>
  </si>
  <si>
    <t>1. Initiation Phase</t>
  </si>
  <si>
    <t>Effort Estimate per Role (hours)</t>
  </si>
  <si>
    <t>2. Analysis and Design Phase</t>
  </si>
  <si>
    <t>3. Build Phase</t>
  </si>
  <si>
    <t>4. Testing Phase</t>
  </si>
  <si>
    <t>5. Deployment Phase</t>
  </si>
  <si>
    <t>6. Closeout Phase</t>
  </si>
  <si>
    <t>Phase Subtotal</t>
  </si>
  <si>
    <t>Activity Subtotal</t>
  </si>
  <si>
    <r>
      <rPr>
        <b/>
        <sz val="11"/>
        <color theme="1"/>
        <rFont val="Calibri"/>
        <family val="2"/>
      </rPr>
      <t>Project Contingencies</t>
    </r>
    <r>
      <rPr>
        <sz val="11"/>
        <color theme="1"/>
        <rFont val="Calibri"/>
        <family val="2"/>
      </rPr>
      <t xml:space="preserve"> </t>
    </r>
  </si>
  <si>
    <t>Budget</t>
  </si>
  <si>
    <t>Total Cost Estimate</t>
  </si>
  <si>
    <t>BA</t>
  </si>
  <si>
    <t>PM</t>
  </si>
  <si>
    <t>Developing the project charter</t>
  </si>
  <si>
    <t>Building and confirming the project team</t>
  </si>
  <si>
    <t>Developing the project management plan</t>
  </si>
  <si>
    <t>Create risk register and initial risk workshop</t>
  </si>
  <si>
    <t>Scheduling analysis and design workshops</t>
  </si>
  <si>
    <t>Identifying stakeholders and defining their roles and responsibilities</t>
  </si>
  <si>
    <t>Establishing project governance and escalation structures</t>
  </si>
  <si>
    <t>Setting up project communication channels and reporting protocols</t>
  </si>
  <si>
    <t>Conducting as-is process analysis for current sales operations</t>
  </si>
  <si>
    <t>Developing detailed business and functional requirement documents</t>
  </si>
  <si>
    <t>Securing stakeholder review and approval of requirements</t>
  </si>
  <si>
    <t>Conducting future state design sessions</t>
  </si>
  <si>
    <t>Developing solution design documents and obtaining formal sign-off</t>
  </si>
  <si>
    <t>Preparing a detailed build plan and timeline</t>
  </si>
  <si>
    <t>Coordinating access to CRM environments and required tools</t>
  </si>
  <si>
    <t>Establishing a change control process</t>
  </si>
  <si>
    <t>Performing risk analysis and documenting mitigation strategies</t>
  </si>
  <si>
    <t>Configuring CRM system features and workflows</t>
  </si>
  <si>
    <t>Developing custom configurations and enhancements</t>
  </si>
  <si>
    <t>Creating dashboards and standard reports</t>
  </si>
  <si>
    <t>Performing data migration and validation activities</t>
  </si>
  <si>
    <t>Developing and configuring system integrations</t>
  </si>
  <si>
    <t>Conducting unit testing for all configured and developed components</t>
  </si>
  <si>
    <t>Reviewing and obtaining approval of test scripts from business stakeholders</t>
  </si>
  <si>
    <t>Preparing deployment and rollback plans</t>
  </si>
  <si>
    <t>Conducting system testing to validate end-to-end functionality</t>
  </si>
  <si>
    <t>Performing integration testing with existing internal systems</t>
  </si>
  <si>
    <t>Conducting user acceptance testing with sales representatives and managers</t>
  </si>
  <si>
    <t>Allocating time for defect resolution and regression testing</t>
  </si>
  <si>
    <t>Developing end-user training materials</t>
  </si>
  <si>
    <t>Finalizing system documentation and support guides</t>
  </si>
  <si>
    <t>Preparing production environments for deployment</t>
  </si>
  <si>
    <t>Executing final data migration activities</t>
  </si>
  <si>
    <t>Migrating configurations and data to the production environment</t>
  </si>
  <si>
    <t>Delivering training sessions to end users</t>
  </si>
  <si>
    <t>Executing the deployment plan</t>
  </si>
  <si>
    <t>Go-live readiness review and monitor</t>
  </si>
  <si>
    <t>Monitoring system performance and stability after go-live</t>
  </si>
  <si>
    <t>Establishing a help desk and support model for end users</t>
  </si>
  <si>
    <t>Providing post-deployment support as users begin using the CRM system</t>
  </si>
  <si>
    <t>Transitioning system ownership to the support and operations teams</t>
  </si>
  <si>
    <t>Conducting lessons learned sessions with project stakeholders</t>
  </si>
  <si>
    <t>Closing vendor and consulting contracts</t>
  </si>
  <si>
    <t>Documenting final project outcomes and key learnings</t>
  </si>
  <si>
    <t>Releasing project resources and formally closing the project</t>
  </si>
  <si>
    <t>External Consultant</t>
  </si>
  <si>
    <t>SME</t>
  </si>
  <si>
    <t>Developer</t>
  </si>
  <si>
    <t>Role and Rate table</t>
  </si>
  <si>
    <t>First-year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</si>
</sst>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right" indent="3"/>
    </xf>
    <xf numFmtId="0" fontId="1" fillId="2" borderId="0" xfId="0" applyFont="1" applyFill="1"/>
    <xf numFmtId="165" fontId="3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right" indent="3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9" fontId="1" fillId="2" borderId="0" xfId="1" applyFont="1" applyFill="1" applyAlignment="1">
      <alignment horizontal="center"/>
    </xf>
    <xf numFmtId="0" fontId="3" fillId="5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9" fontId="1" fillId="5" borderId="0" xfId="1" applyFont="1" applyFill="1" applyAlignment="1">
      <alignment horizontal="center"/>
    </xf>
    <xf numFmtId="165" fontId="3" fillId="6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3" fillId="5" borderId="0" xfId="0" applyFont="1" applyFill="1" applyAlignment="1">
      <alignment horizontal="right"/>
    </xf>
    <xf numFmtId="9" fontId="1" fillId="2" borderId="0" xfId="1" applyNumberFormat="1" applyFont="1" applyFill="1" applyAlignment="1">
      <alignment horizontal="center"/>
    </xf>
    <xf numFmtId="9" fontId="1" fillId="6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0587DA-30DD-427D-A8A9-C7369AA339F5}" name="Table1345" displayName="Table1345" ref="A1:H100" totalsRowShown="0" headerRowDxfId="9" dataDxfId="8">
  <autoFilter ref="A1:H100" xr:uid="{84417FF1-0E0F-4AA2-B146-40BC7AD01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66157F6-6438-4EF0-AA1F-EB6EC851717C}" name="Activity" dataDxfId="7"/>
    <tableColumn id="2" xr3:uid="{8FF2467E-233C-4B29-A64F-BADFE9772D10}" name="Resource" dataDxfId="6"/>
    <tableColumn id="3" xr3:uid="{6DAB1A83-A32A-4BF7-BFA9-8CD5D25D3001}" name="Effort Estimate per Role (hours)" dataDxfId="5"/>
    <tableColumn id="4" xr3:uid="{5D41A067-7420-4B5C-8119-724C18AE59A9}" name="Hourly Rate" dataDxfId="4"/>
    <tableColumn id="5" xr3:uid="{01F6EEB3-4B50-415A-A712-4895EC56686D}" name="Cost per Role" dataDxfId="3">
      <calculatedColumnFormula>Table1345[[#This Row],[Effort Estimate per Role (hours)]]*Table1345[[#This Row],[Hourly Rate]]</calculatedColumnFormula>
    </tableColumn>
    <tableColumn id="6" xr3:uid="{1C8A561F-E650-4136-A0D2-37EDD6E94691}" name="Cost per Activity " dataDxfId="2"/>
    <tableColumn id="7" xr3:uid="{CF758310-23FE-4E80-9790-FBF970DACECC}" name="Cost per Phase" dataDxfId="1"/>
    <tableColumn id="8" xr3:uid="{95400979-30BD-4B34-88E1-F1C1879A7E02}" name="% of Total Cost per Pha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BB96-8EAF-4DE6-ABB2-BCC049F59AE4}">
  <dimension ref="A1:M100"/>
  <sheetViews>
    <sheetView tabSelected="1" zoomScale="125" zoomScaleNormal="106" workbookViewId="0">
      <pane ySplit="1" topLeftCell="A2" activePane="bottomLeft" state="frozen"/>
      <selection pane="bottomLeft" activeCell="G37" sqref="G37"/>
    </sheetView>
  </sheetViews>
  <sheetFormatPr baseColWidth="10" defaultColWidth="8.83203125" defaultRowHeight="15" x14ac:dyDescent="0.2"/>
  <cols>
    <col min="1" max="1" width="59.6640625" bestFit="1" customWidth="1"/>
    <col min="2" max="2" width="18.6640625" customWidth="1"/>
    <col min="3" max="3" width="28.83203125" style="1" customWidth="1"/>
    <col min="4" max="4" width="12.1640625" style="1" customWidth="1"/>
    <col min="5" max="5" width="13.5" style="1" customWidth="1"/>
    <col min="6" max="6" width="16.33203125" style="1" customWidth="1"/>
    <col min="7" max="7" width="15" style="1" customWidth="1"/>
    <col min="8" max="8" width="23.1640625" style="1" customWidth="1"/>
    <col min="10" max="10" width="10.83203125" bestFit="1" customWidth="1"/>
    <col min="11" max="11" width="22.33203125" customWidth="1"/>
    <col min="13" max="13" width="9.6640625" bestFit="1" customWidth="1"/>
  </cols>
  <sheetData>
    <row r="1" spans="1:13" s="1" customFormat="1" x14ac:dyDescent="0.2">
      <c r="A1" s="13" t="s">
        <v>0</v>
      </c>
      <c r="B1" s="13" t="s">
        <v>1</v>
      </c>
      <c r="C1" s="13" t="s">
        <v>8</v>
      </c>
      <c r="D1" s="14" t="s">
        <v>2</v>
      </c>
      <c r="E1" s="14" t="s">
        <v>3</v>
      </c>
      <c r="F1" s="14" t="s">
        <v>4</v>
      </c>
      <c r="G1" s="14" t="s">
        <v>5</v>
      </c>
      <c r="H1" s="13" t="s">
        <v>6</v>
      </c>
      <c r="J1" s="6">
        <v>250000</v>
      </c>
      <c r="K1" s="33" t="s">
        <v>17</v>
      </c>
      <c r="L1" s="33" t="s">
        <v>69</v>
      </c>
    </row>
    <row r="2" spans="1:13" x14ac:dyDescent="0.2">
      <c r="A2" s="21" t="s">
        <v>7</v>
      </c>
      <c r="B2" s="22"/>
      <c r="C2" s="23"/>
      <c r="D2" s="24"/>
      <c r="E2" s="24"/>
      <c r="F2" s="24"/>
      <c r="G2" s="24"/>
      <c r="H2" s="23"/>
      <c r="J2" s="5"/>
      <c r="L2" t="s">
        <v>20</v>
      </c>
      <c r="M2" s="4">
        <v>70</v>
      </c>
    </row>
    <row r="3" spans="1:13" x14ac:dyDescent="0.2">
      <c r="A3" t="s">
        <v>21</v>
      </c>
      <c r="B3" s="2" t="s">
        <v>20</v>
      </c>
      <c r="C3" s="3">
        <v>15</v>
      </c>
      <c r="D3" s="4">
        <f>IF(B3="", "",VLOOKUP(Table1345[[#This Row],[Resource]], $L$2:$M$6,2,FALSE))</f>
        <v>70</v>
      </c>
      <c r="E3" s="4">
        <f>IF(C3="","",Table1345[[#This Row],[Effort Estimate per Role (hours)]]*Table1345[[#This Row],[Hourly Rate]])</f>
        <v>1050</v>
      </c>
      <c r="F3" s="4">
        <f>IF(D3="","",Table1345[[#This Row],[Effort Estimate per Role (hours)]]*Table1345[[#This Row],[Hourly Rate]])</f>
        <v>1050</v>
      </c>
      <c r="G3" s="4">
        <f>IF(E3="","",Table1345[[#This Row],[Effort Estimate per Role (hours)]]*Table1345[[#This Row],[Hourly Rate]])</f>
        <v>1050</v>
      </c>
      <c r="H3" s="3"/>
      <c r="J3" s="7"/>
      <c r="L3" t="s">
        <v>19</v>
      </c>
      <c r="M3" s="4">
        <v>40</v>
      </c>
    </row>
    <row r="4" spans="1:13" x14ac:dyDescent="0.2">
      <c r="A4" t="s">
        <v>22</v>
      </c>
      <c r="B4" s="2" t="s">
        <v>19</v>
      </c>
      <c r="C4" s="3">
        <v>8</v>
      </c>
      <c r="D4" s="4">
        <f>IF(B4="", "",VLOOKUP(Table1345[[#This Row],[Resource]], $L$2:$M$6,2,FALSE))</f>
        <v>40</v>
      </c>
      <c r="E4" s="4">
        <f>IF(C4="","",Table1345[[#This Row],[Effort Estimate per Role (hours)]]*Table1345[[#This Row],[Hourly Rate]])</f>
        <v>320</v>
      </c>
      <c r="F4" s="4">
        <f>IF(D4="","",Table1345[[#This Row],[Effort Estimate per Role (hours)]]*Table1345[[#This Row],[Hourly Rate]])</f>
        <v>320</v>
      </c>
      <c r="G4" s="4">
        <f>IF(E4="","",Table1345[[#This Row],[Effort Estimate per Role (hours)]]*Table1345[[#This Row],[Hourly Rate]])</f>
        <v>320</v>
      </c>
      <c r="H4" s="3"/>
      <c r="L4" t="s">
        <v>68</v>
      </c>
      <c r="M4" s="4">
        <v>50</v>
      </c>
    </row>
    <row r="5" spans="1:13" x14ac:dyDescent="0.2">
      <c r="A5" t="s">
        <v>23</v>
      </c>
      <c r="B5" s="2" t="s">
        <v>20</v>
      </c>
      <c r="C5" s="3">
        <v>25</v>
      </c>
      <c r="D5" s="4">
        <f>IF(B5="", "",VLOOKUP(Table1345[[#This Row],[Resource]], $L$2:$M$6,2,FALSE))</f>
        <v>70</v>
      </c>
      <c r="E5" s="4">
        <f>IF(C5="","",Table1345[[#This Row],[Effort Estimate per Role (hours)]]*Table1345[[#This Row],[Hourly Rate]])</f>
        <v>1750</v>
      </c>
      <c r="F5" s="4">
        <f>IF(D5="","",Table1345[[#This Row],[Effort Estimate per Role (hours)]]*Table1345[[#This Row],[Hourly Rate]])</f>
        <v>1750</v>
      </c>
      <c r="G5" s="4">
        <f>IF(E5="","",Table1345[[#This Row],[Effort Estimate per Role (hours)]]*Table1345[[#This Row],[Hourly Rate]])</f>
        <v>1750</v>
      </c>
      <c r="H5" s="3"/>
      <c r="L5" t="s">
        <v>67</v>
      </c>
      <c r="M5" s="4">
        <v>40</v>
      </c>
    </row>
    <row r="6" spans="1:13" x14ac:dyDescent="0.2">
      <c r="A6" t="s">
        <v>24</v>
      </c>
      <c r="B6" s="2" t="s">
        <v>20</v>
      </c>
      <c r="C6" s="3">
        <v>15</v>
      </c>
      <c r="D6" s="4">
        <f>IF(B6="", "",VLOOKUP(Table1345[[#This Row],[Resource]], $L$2:$M$6,2,FALSE))</f>
        <v>70</v>
      </c>
      <c r="E6" s="4">
        <f>IF(C6="","",Table1345[[#This Row],[Effort Estimate per Role (hours)]]*Table1345[[#This Row],[Hourly Rate]])</f>
        <v>1050</v>
      </c>
      <c r="F6" s="4">
        <f>IF(D6="","",Table1345[[#This Row],[Effort Estimate per Role (hours)]]*Table1345[[#This Row],[Hourly Rate]])</f>
        <v>1050</v>
      </c>
      <c r="G6" s="4">
        <f>IF(E6="","",Table1345[[#This Row],[Effort Estimate per Role (hours)]]*Table1345[[#This Row],[Hourly Rate]])</f>
        <v>1050</v>
      </c>
      <c r="H6" s="3"/>
      <c r="L6" t="s">
        <v>66</v>
      </c>
      <c r="M6" s="4">
        <v>150</v>
      </c>
    </row>
    <row r="7" spans="1:13" x14ac:dyDescent="0.2">
      <c r="A7" t="s">
        <v>25</v>
      </c>
      <c r="B7" s="2" t="s">
        <v>20</v>
      </c>
      <c r="C7" s="3">
        <v>5</v>
      </c>
      <c r="D7" s="4">
        <f>IF(B7="", "",VLOOKUP(Table1345[[#This Row],[Resource]], $L$2:$M$6,2,FALSE))</f>
        <v>70</v>
      </c>
      <c r="E7" s="4">
        <f>IF(C7="","",Table1345[[#This Row],[Effort Estimate per Role (hours)]]*Table1345[[#This Row],[Hourly Rate]])</f>
        <v>350</v>
      </c>
      <c r="F7" s="4">
        <f>IF(D7="","",Table1345[[#This Row],[Effort Estimate per Role (hours)]]*Table1345[[#This Row],[Hourly Rate]])</f>
        <v>350</v>
      </c>
      <c r="G7" s="4">
        <f>IF(E7="","",Table1345[[#This Row],[Effort Estimate per Role (hours)]]*Table1345[[#This Row],[Hourly Rate]])</f>
        <v>350</v>
      </c>
      <c r="H7" s="3"/>
    </row>
    <row r="8" spans="1:13" x14ac:dyDescent="0.2">
      <c r="A8" t="s">
        <v>26</v>
      </c>
      <c r="B8" s="2" t="s">
        <v>20</v>
      </c>
      <c r="C8" s="3">
        <v>5</v>
      </c>
      <c r="D8" s="4">
        <f>IF(B8="", "",VLOOKUP(Table1345[[#This Row],[Resource]], $L$2:$M$6,2,FALSE))</f>
        <v>70</v>
      </c>
      <c r="E8" s="4">
        <f>IF(C8="","",Table1345[[#This Row],[Effort Estimate per Role (hours)]]*Table1345[[#This Row],[Hourly Rate]])</f>
        <v>350</v>
      </c>
      <c r="F8" s="4">
        <f>IF(D8="","",Table1345[[#This Row],[Effort Estimate per Role (hours)]]*Table1345[[#This Row],[Hourly Rate]])</f>
        <v>350</v>
      </c>
      <c r="G8" s="4">
        <f>IF(E8="","",Table1345[[#This Row],[Effort Estimate per Role (hours)]]*Table1345[[#This Row],[Hourly Rate]])</f>
        <v>350</v>
      </c>
      <c r="H8" s="3"/>
    </row>
    <row r="9" spans="1:13" x14ac:dyDescent="0.2">
      <c r="A9" t="s">
        <v>27</v>
      </c>
      <c r="B9" s="2" t="s">
        <v>20</v>
      </c>
      <c r="C9" s="3">
        <v>5</v>
      </c>
      <c r="D9" s="4">
        <f>IF(B9="", "",VLOOKUP(Table1345[[#This Row],[Resource]], $L$2:$M$6,2,FALSE))</f>
        <v>70</v>
      </c>
      <c r="E9" s="4">
        <f>IF(C9="","",Table1345[[#This Row],[Effort Estimate per Role (hours)]]*Table1345[[#This Row],[Hourly Rate]])</f>
        <v>350</v>
      </c>
      <c r="F9" s="4">
        <f>IF(D9="","",Table1345[[#This Row],[Effort Estimate per Role (hours)]]*Table1345[[#This Row],[Hourly Rate]])</f>
        <v>350</v>
      </c>
      <c r="G9" s="4">
        <f>IF(E9="","",Table1345[[#This Row],[Effort Estimate per Role (hours)]]*Table1345[[#This Row],[Hourly Rate]])</f>
        <v>350</v>
      </c>
      <c r="H9" s="3"/>
    </row>
    <row r="10" spans="1:13" x14ac:dyDescent="0.2">
      <c r="A10" t="s">
        <v>28</v>
      </c>
      <c r="B10" s="2" t="s">
        <v>19</v>
      </c>
      <c r="C10" s="3">
        <v>2</v>
      </c>
      <c r="D10" s="4">
        <f>IF(B10="", "",VLOOKUP(Table1345[[#This Row],[Resource]], $L$2:$M$6,2,FALSE))</f>
        <v>40</v>
      </c>
      <c r="E10" s="4">
        <f>IF(C10="","",Table1345[[#This Row],[Effort Estimate per Role (hours)]]*Table1345[[#This Row],[Hourly Rate]])</f>
        <v>80</v>
      </c>
      <c r="F10" s="4">
        <f>IF(D10="","",Table1345[[#This Row],[Effort Estimate per Role (hours)]]*Table1345[[#This Row],[Hourly Rate]])</f>
        <v>80</v>
      </c>
      <c r="G10" s="4">
        <f>IF(E10="","",Table1345[[#This Row],[Effort Estimate per Role (hours)]]*Table1345[[#This Row],[Hourly Rate]])</f>
        <v>80</v>
      </c>
      <c r="H10" s="3"/>
    </row>
    <row r="11" spans="1:13" x14ac:dyDescent="0.2">
      <c r="A11" s="10" t="s">
        <v>14</v>
      </c>
      <c r="B11" s="11"/>
      <c r="C11" s="8"/>
      <c r="D11" s="8" t="str">
        <f>IF(B11="", "",VLOOKUP(Table1345[[#This Row],[Resource]], $L$2:$M$6,2,FALSE))</f>
        <v/>
      </c>
      <c r="E11" s="8" t="str">
        <f>IF(C11="","",Table1345[[#This Row],[Effort Estimate per Role (hours)]]*Table1345[[#This Row],[Hourly Rate]])</f>
        <v/>
      </c>
      <c r="F11" s="9"/>
      <c r="G11" s="12">
        <f>SUM(G3:G10)</f>
        <v>5300</v>
      </c>
      <c r="H11" s="20">
        <f>Table1345[[#This Row],[Cost per Phase]]/J1</f>
        <v>2.12E-2</v>
      </c>
    </row>
    <row r="12" spans="1:13" x14ac:dyDescent="0.2">
      <c r="A12" s="21" t="s">
        <v>9</v>
      </c>
      <c r="B12" s="22"/>
      <c r="C12" s="23"/>
      <c r="D12" s="22"/>
      <c r="E12" s="23"/>
      <c r="F12" s="24"/>
      <c r="G12" s="24"/>
      <c r="H12" s="23"/>
    </row>
    <row r="13" spans="1:13" x14ac:dyDescent="0.2">
      <c r="A13" t="s">
        <v>29</v>
      </c>
      <c r="B13" s="2" t="s">
        <v>20</v>
      </c>
      <c r="C13" s="3">
        <v>15</v>
      </c>
      <c r="D13" s="4">
        <f>IF(B13="", "",VLOOKUP(Table1345[[#This Row],[Resource]], $L$2:$M$6,2,FALSE))</f>
        <v>70</v>
      </c>
      <c r="E13" s="4">
        <f>IF(C13="","",Table1345[[#This Row],[Effort Estimate per Role (hours)]]*Table1345[[#This Row],[Hourly Rate]])</f>
        <v>1050</v>
      </c>
      <c r="F13" s="4">
        <f>IF(D13="","",Table1345[[#This Row],[Effort Estimate per Role (hours)]]*Table1345[[#This Row],[Hourly Rate]])</f>
        <v>1050</v>
      </c>
      <c r="G13" s="4">
        <f>IF(E13="","",Table1345[[#This Row],[Effort Estimate per Role (hours)]]*Table1345[[#This Row],[Hourly Rate]])</f>
        <v>1050</v>
      </c>
      <c r="H13" s="3"/>
    </row>
    <row r="14" spans="1:13" x14ac:dyDescent="0.2">
      <c r="B14" s="2" t="s">
        <v>19</v>
      </c>
      <c r="C14" s="3">
        <v>30</v>
      </c>
      <c r="D14" s="4">
        <f>IF(B14="", "",VLOOKUP(Table1345[[#This Row],[Resource]], $L$2:$M$6,2,FALSE))</f>
        <v>40</v>
      </c>
      <c r="E14" s="4">
        <f>IF(C14="","",Table1345[[#This Row],[Effort Estimate per Role (hours)]]*Table1345[[#This Row],[Hourly Rate]])</f>
        <v>1200</v>
      </c>
      <c r="F14" s="4">
        <f>IF(D14="","",Table1345[[#This Row],[Effort Estimate per Role (hours)]]*Table1345[[#This Row],[Hourly Rate]])</f>
        <v>1200</v>
      </c>
      <c r="G14" s="4">
        <f>IF(E14="","",Table1345[[#This Row],[Effort Estimate per Role (hours)]]*Table1345[[#This Row],[Hourly Rate]])</f>
        <v>1200</v>
      </c>
      <c r="H14" s="3"/>
    </row>
    <row r="15" spans="1:13" x14ac:dyDescent="0.2">
      <c r="B15" s="2" t="s">
        <v>66</v>
      </c>
      <c r="C15" s="3">
        <v>20</v>
      </c>
      <c r="D15" s="4">
        <f>IF(B15="", "",VLOOKUP(Table1345[[#This Row],[Resource]], $L$2:$M$6,2,FALSE))</f>
        <v>150</v>
      </c>
      <c r="E15" s="4">
        <f>IF(C15="","",Table1345[[#This Row],[Effort Estimate per Role (hours)]]*Table1345[[#This Row],[Hourly Rate]])</f>
        <v>3000</v>
      </c>
      <c r="F15" s="4">
        <f>IF(D15="","",Table1345[[#This Row],[Effort Estimate per Role (hours)]]*Table1345[[#This Row],[Hourly Rate]])</f>
        <v>3000</v>
      </c>
      <c r="G15" s="4">
        <f>IF(E15="","",Table1345[[#This Row],[Effort Estimate per Role (hours)]]*Table1345[[#This Row],[Hourly Rate]])</f>
        <v>3000</v>
      </c>
      <c r="H15" s="3"/>
    </row>
    <row r="16" spans="1:13" x14ac:dyDescent="0.2">
      <c r="A16" s="15" t="s">
        <v>15</v>
      </c>
      <c r="B16" s="16"/>
      <c r="C16" s="17"/>
      <c r="D16" s="16"/>
      <c r="E16" s="17"/>
      <c r="F16" s="19">
        <f>SUM(F13:F15)</f>
        <v>5250</v>
      </c>
      <c r="G16" s="18"/>
      <c r="H16" s="18"/>
    </row>
    <row r="17" spans="1:8" x14ac:dyDescent="0.2">
      <c r="A17" t="s">
        <v>30</v>
      </c>
      <c r="B17" s="2" t="s">
        <v>19</v>
      </c>
      <c r="C17" s="3">
        <v>50</v>
      </c>
      <c r="D17" s="4">
        <f>IF(B17="", "",VLOOKUP(Table1345[[#This Row],[Resource]], $L$2:$M$6,2,FALSE))</f>
        <v>40</v>
      </c>
      <c r="E17" s="4">
        <f>IF(C17="","",Table1345[[#This Row],[Effort Estimate per Role (hours)]]*Table1345[[#This Row],[Hourly Rate]])</f>
        <v>2000</v>
      </c>
      <c r="F17" s="4">
        <f>IF(D17="","",Table1345[[#This Row],[Effort Estimate per Role (hours)]]*Table1345[[#This Row],[Hourly Rate]])</f>
        <v>2000</v>
      </c>
      <c r="G17" s="4">
        <f>IF(E17="","",Table1345[[#This Row],[Effort Estimate per Role (hours)]]*Table1345[[#This Row],[Hourly Rate]])</f>
        <v>2000</v>
      </c>
      <c r="H17" s="3"/>
    </row>
    <row r="18" spans="1:8" x14ac:dyDescent="0.2">
      <c r="B18" s="2" t="s">
        <v>66</v>
      </c>
      <c r="C18" s="3">
        <v>20</v>
      </c>
      <c r="D18" s="4">
        <f>IF(B18="", "",VLOOKUP(Table1345[[#This Row],[Resource]], $L$2:$M$6,2,FALSE))</f>
        <v>150</v>
      </c>
      <c r="E18" s="4">
        <f>IF(C18="","",Table1345[[#This Row],[Effort Estimate per Role (hours)]]*Table1345[[#This Row],[Hourly Rate]])</f>
        <v>3000</v>
      </c>
      <c r="F18" s="4">
        <f>IF(D18="","",Table1345[[#This Row],[Effort Estimate per Role (hours)]]*Table1345[[#This Row],[Hourly Rate]])</f>
        <v>3000</v>
      </c>
      <c r="G18" s="4">
        <f>IF(E18="","",Table1345[[#This Row],[Effort Estimate per Role (hours)]]*Table1345[[#This Row],[Hourly Rate]])</f>
        <v>3000</v>
      </c>
      <c r="H18" s="3"/>
    </row>
    <row r="19" spans="1:8" x14ac:dyDescent="0.2">
      <c r="A19" s="15" t="s">
        <v>15</v>
      </c>
      <c r="B19" s="16"/>
      <c r="C19" s="17"/>
      <c r="D19" s="16"/>
      <c r="E19" s="17"/>
      <c r="F19" s="19">
        <f>SUM(F17:F18)</f>
        <v>5000</v>
      </c>
      <c r="G19" s="18"/>
      <c r="H19" s="18"/>
    </row>
    <row r="20" spans="1:8" x14ac:dyDescent="0.2">
      <c r="A20" t="s">
        <v>31</v>
      </c>
      <c r="B20" s="2" t="s">
        <v>20</v>
      </c>
      <c r="C20" s="3">
        <v>15</v>
      </c>
      <c r="D20" s="4">
        <f>IF(B20="", "",VLOOKUP(Table1345[[#This Row],[Resource]], $L$2:$M$6,2,FALSE))</f>
        <v>70</v>
      </c>
      <c r="E20" s="4">
        <f>IF(C20="","",Table1345[[#This Row],[Effort Estimate per Role (hours)]]*Table1345[[#This Row],[Hourly Rate]])</f>
        <v>1050</v>
      </c>
      <c r="F20" s="4">
        <f>IF(D20="","",Table1345[[#This Row],[Effort Estimate per Role (hours)]]*Table1345[[#This Row],[Hourly Rate]])</f>
        <v>1050</v>
      </c>
      <c r="G20" s="4">
        <f>IF(E20="","",Table1345[[#This Row],[Effort Estimate per Role (hours)]]*Table1345[[#This Row],[Hourly Rate]])</f>
        <v>1050</v>
      </c>
      <c r="H20" s="3"/>
    </row>
    <row r="21" spans="1:8" x14ac:dyDescent="0.2">
      <c r="A21" t="s">
        <v>32</v>
      </c>
      <c r="B21" s="2" t="s">
        <v>66</v>
      </c>
      <c r="C21" s="3">
        <v>45</v>
      </c>
      <c r="D21" s="4">
        <f>IF(B21="", "",VLOOKUP(Table1345[[#This Row],[Resource]], $L$2:$M$6,2,FALSE))</f>
        <v>150</v>
      </c>
      <c r="E21" s="4">
        <f>IF(C21="","",Table1345[[#This Row],[Effort Estimate per Role (hours)]]*Table1345[[#This Row],[Hourly Rate]])</f>
        <v>6750</v>
      </c>
      <c r="F21" s="4">
        <f>IF(D21="","",Table1345[[#This Row],[Effort Estimate per Role (hours)]]*Table1345[[#This Row],[Hourly Rate]])</f>
        <v>6750</v>
      </c>
      <c r="G21" s="4">
        <f>IF(E21="","",Table1345[[#This Row],[Effort Estimate per Role (hours)]]*Table1345[[#This Row],[Hourly Rate]])</f>
        <v>6750</v>
      </c>
      <c r="H21" s="3"/>
    </row>
    <row r="22" spans="1:8" x14ac:dyDescent="0.2">
      <c r="B22" s="2" t="s">
        <v>67</v>
      </c>
      <c r="C22" s="3">
        <v>30</v>
      </c>
      <c r="D22" s="4">
        <f>IF(B22="", "",VLOOKUP(Table1345[[#This Row],[Resource]], $L$2:$M$6,2,FALSE))</f>
        <v>40</v>
      </c>
      <c r="E22" s="4">
        <f>IF(C22="","",Table1345[[#This Row],[Effort Estimate per Role (hours)]]*Table1345[[#This Row],[Hourly Rate]])</f>
        <v>1200</v>
      </c>
      <c r="F22" s="4">
        <f>IF(D22="","",Table1345[[#This Row],[Effort Estimate per Role (hours)]]*Table1345[[#This Row],[Hourly Rate]])</f>
        <v>1200</v>
      </c>
      <c r="G22" s="4">
        <f>IF(E22="","",Table1345[[#This Row],[Effort Estimate per Role (hours)]]*Table1345[[#This Row],[Hourly Rate]])</f>
        <v>1200</v>
      </c>
      <c r="H22" s="3"/>
    </row>
    <row r="23" spans="1:8" x14ac:dyDescent="0.2">
      <c r="A23" s="15" t="s">
        <v>15</v>
      </c>
      <c r="B23" s="16"/>
      <c r="C23" s="17"/>
      <c r="D23" s="16"/>
      <c r="E23" s="17"/>
      <c r="F23" s="19">
        <f>SUM(F21:F22)</f>
        <v>7950</v>
      </c>
      <c r="G23" s="18"/>
      <c r="H23" s="18"/>
    </row>
    <row r="24" spans="1:8" x14ac:dyDescent="0.2">
      <c r="A24" t="s">
        <v>33</v>
      </c>
      <c r="B24" s="2" t="s">
        <v>19</v>
      </c>
      <c r="C24" s="3">
        <v>30</v>
      </c>
      <c r="D24" s="4">
        <f>IF(B24="", "",VLOOKUP(Table1345[[#This Row],[Resource]], $L$2:$M$6,2,FALSE))</f>
        <v>40</v>
      </c>
      <c r="E24" s="4">
        <f>IF(C24="","",Table1345[[#This Row],[Effort Estimate per Role (hours)]]*Table1345[[#This Row],[Hourly Rate]])</f>
        <v>1200</v>
      </c>
      <c r="F24" s="4">
        <f>IF(D24="","",Table1345[[#This Row],[Effort Estimate per Role (hours)]]*Table1345[[#This Row],[Hourly Rate]])</f>
        <v>1200</v>
      </c>
      <c r="G24" s="4">
        <f>IF(E24="","",Table1345[[#This Row],[Effort Estimate per Role (hours)]]*Table1345[[#This Row],[Hourly Rate]])</f>
        <v>1200</v>
      </c>
      <c r="H24" s="3"/>
    </row>
    <row r="25" spans="1:8" x14ac:dyDescent="0.2">
      <c r="B25" s="2" t="s">
        <v>66</v>
      </c>
      <c r="C25" s="3">
        <v>15</v>
      </c>
      <c r="D25" s="4">
        <f>IF(B25="", "",VLOOKUP(Table1345[[#This Row],[Resource]], $L$2:$M$6,2,FALSE))</f>
        <v>150</v>
      </c>
      <c r="E25" s="4">
        <f>IF(C25="","",Table1345[[#This Row],[Effort Estimate per Role (hours)]]*Table1345[[#This Row],[Hourly Rate]])</f>
        <v>2250</v>
      </c>
      <c r="F25" s="4">
        <f>IF(D25="","",Table1345[[#This Row],[Effort Estimate per Role (hours)]]*Table1345[[#This Row],[Hourly Rate]])</f>
        <v>2250</v>
      </c>
      <c r="G25" s="4">
        <f>IF(E25="","",Table1345[[#This Row],[Effort Estimate per Role (hours)]]*Table1345[[#This Row],[Hourly Rate]])</f>
        <v>2250</v>
      </c>
      <c r="H25" s="3"/>
    </row>
    <row r="26" spans="1:8" x14ac:dyDescent="0.2">
      <c r="A26" s="15" t="s">
        <v>15</v>
      </c>
      <c r="B26" s="16"/>
      <c r="C26" s="17"/>
      <c r="D26" s="16"/>
      <c r="E26" s="17"/>
      <c r="F26" s="19">
        <f>SUM(F24:F25)</f>
        <v>3450</v>
      </c>
      <c r="G26" s="18"/>
      <c r="H26" s="18"/>
    </row>
    <row r="27" spans="1:8" x14ac:dyDescent="0.2">
      <c r="A27" t="s">
        <v>34</v>
      </c>
      <c r="B27" s="2" t="s">
        <v>20</v>
      </c>
      <c r="C27" s="3">
        <v>10</v>
      </c>
      <c r="D27" s="4">
        <f>IF(B27="", "",VLOOKUP(Table1345[[#This Row],[Resource]], $L$2:$M$6,2,FALSE))</f>
        <v>70</v>
      </c>
      <c r="E27" s="4">
        <f>IF(C27="","",Table1345[[#This Row],[Effort Estimate per Role (hours)]]*Table1345[[#This Row],[Hourly Rate]])</f>
        <v>700</v>
      </c>
      <c r="F27" s="4">
        <f>IF(D27="","",Table1345[[#This Row],[Effort Estimate per Role (hours)]]*Table1345[[#This Row],[Hourly Rate]])</f>
        <v>700</v>
      </c>
      <c r="G27" s="4">
        <f>IF(E27="","",Table1345[[#This Row],[Effort Estimate per Role (hours)]]*Table1345[[#This Row],[Hourly Rate]])</f>
        <v>700</v>
      </c>
      <c r="H27" s="3"/>
    </row>
    <row r="28" spans="1:8" x14ac:dyDescent="0.2">
      <c r="A28" t="s">
        <v>35</v>
      </c>
      <c r="B28" s="2" t="s">
        <v>68</v>
      </c>
      <c r="C28" s="3">
        <v>20</v>
      </c>
      <c r="D28" s="4">
        <f>IF(B28="", "",VLOOKUP(Table1345[[#This Row],[Resource]], $L$2:$M$6,2,FALSE))</f>
        <v>50</v>
      </c>
      <c r="E28" s="4">
        <f>IF(C28="","",Table1345[[#This Row],[Effort Estimate per Role (hours)]]*Table1345[[#This Row],[Hourly Rate]])</f>
        <v>1000</v>
      </c>
      <c r="F28" s="4">
        <f>IF(D28="","",Table1345[[#This Row],[Effort Estimate per Role (hours)]]*Table1345[[#This Row],[Hourly Rate]])</f>
        <v>1000</v>
      </c>
      <c r="G28" s="4">
        <f>IF(E28="","",Table1345[[#This Row],[Effort Estimate per Role (hours)]]*Table1345[[#This Row],[Hourly Rate]])</f>
        <v>1000</v>
      </c>
      <c r="H28" s="3"/>
    </row>
    <row r="29" spans="1:8" x14ac:dyDescent="0.2">
      <c r="A29" t="s">
        <v>36</v>
      </c>
      <c r="B29" s="2" t="s">
        <v>19</v>
      </c>
      <c r="C29" s="3">
        <v>10</v>
      </c>
      <c r="D29" s="4">
        <f>IF(B29="", "",VLOOKUP(Table1345[[#This Row],[Resource]], $L$2:$M$6,2,FALSE))</f>
        <v>40</v>
      </c>
      <c r="E29" s="4">
        <f>IF(C29="","",Table1345[[#This Row],[Effort Estimate per Role (hours)]]*Table1345[[#This Row],[Hourly Rate]])</f>
        <v>400</v>
      </c>
      <c r="F29" s="4">
        <f>IF(D29="","",Table1345[[#This Row],[Effort Estimate per Role (hours)]]*Table1345[[#This Row],[Hourly Rate]])</f>
        <v>400</v>
      </c>
      <c r="G29" s="4">
        <f>IF(E29="","",Table1345[[#This Row],[Effort Estimate per Role (hours)]]*Table1345[[#This Row],[Hourly Rate]])</f>
        <v>400</v>
      </c>
      <c r="H29" s="3"/>
    </row>
    <row r="30" spans="1:8" x14ac:dyDescent="0.2">
      <c r="A30" t="s">
        <v>37</v>
      </c>
      <c r="B30" s="2" t="s">
        <v>19</v>
      </c>
      <c r="C30" s="3">
        <v>15</v>
      </c>
      <c r="D30" s="4">
        <f>IF(B30="", "",VLOOKUP(Table1345[[#This Row],[Resource]], $L$2:$M$6,2,FALSE))</f>
        <v>40</v>
      </c>
      <c r="E30" s="4">
        <f>IF(C30="","",Table1345[[#This Row],[Effort Estimate per Role (hours)]]*Table1345[[#This Row],[Hourly Rate]])</f>
        <v>600</v>
      </c>
      <c r="F30" s="4">
        <f>IF(D30="","",Table1345[[#This Row],[Effort Estimate per Role (hours)]]*Table1345[[#This Row],[Hourly Rate]])</f>
        <v>600</v>
      </c>
      <c r="G30" s="4">
        <f>IF(E30="","",Table1345[[#This Row],[Effort Estimate per Role (hours)]]*Table1345[[#This Row],[Hourly Rate]])</f>
        <v>600</v>
      </c>
      <c r="H30" s="3"/>
    </row>
    <row r="31" spans="1:8" x14ac:dyDescent="0.2">
      <c r="A31" s="10" t="s">
        <v>14</v>
      </c>
      <c r="B31" s="11"/>
      <c r="C31" s="8"/>
      <c r="D31" s="8" t="str">
        <f>IF(B31="", "",VLOOKUP(Table1345[[#This Row],[Resource]], $L$2:$M$6,2,FALSE))</f>
        <v/>
      </c>
      <c r="E31" s="8" t="str">
        <f>IF(C31="","",Table1345[[#This Row],[Effort Estimate per Role (hours)]]*Table1345[[#This Row],[Hourly Rate]])</f>
        <v/>
      </c>
      <c r="F31" s="9"/>
      <c r="G31" s="12">
        <f>SUM(G13:G30)</f>
        <v>25400</v>
      </c>
      <c r="H31" s="20">
        <f>Table1345[[#This Row],[Cost per Phase]]/$J$1</f>
        <v>0.1016</v>
      </c>
    </row>
    <row r="32" spans="1:8" x14ac:dyDescent="0.2">
      <c r="A32" s="21" t="s">
        <v>10</v>
      </c>
      <c r="B32" s="22"/>
      <c r="C32" s="23"/>
      <c r="D32" s="22"/>
      <c r="E32" s="23"/>
      <c r="F32" s="24"/>
      <c r="G32" s="24"/>
      <c r="H32" s="23"/>
    </row>
    <row r="33" spans="1:8" x14ac:dyDescent="0.2">
      <c r="A33" t="s">
        <v>38</v>
      </c>
      <c r="B33" s="2" t="s">
        <v>68</v>
      </c>
      <c r="C33" s="3">
        <v>120</v>
      </c>
      <c r="D33" s="4">
        <f>IF(B33="", "",VLOOKUP(Table1345[[#This Row],[Resource]], $L$2:$M$6,2,FALSE))</f>
        <v>50</v>
      </c>
      <c r="E33" s="4">
        <f>IF(C33="","",Table1345[[#This Row],[Effort Estimate per Role (hours)]]*Table1345[[#This Row],[Hourly Rate]])</f>
        <v>6000</v>
      </c>
      <c r="F33" s="4">
        <f>IF(D33="","",Table1345[[#This Row],[Effort Estimate per Role (hours)]]*Table1345[[#This Row],[Hourly Rate]])</f>
        <v>6000</v>
      </c>
      <c r="G33" s="4">
        <f>IF(E33="","",Table1345[[#This Row],[Effort Estimate per Role (hours)]]*Table1345[[#This Row],[Hourly Rate]])</f>
        <v>6000</v>
      </c>
      <c r="H33" s="3"/>
    </row>
    <row r="34" spans="1:8" x14ac:dyDescent="0.2">
      <c r="B34" s="2" t="s">
        <v>66</v>
      </c>
      <c r="C34" s="3">
        <v>60</v>
      </c>
      <c r="D34" s="4">
        <f>IF(B34="", "",VLOOKUP(Table1345[[#This Row],[Resource]], $L$2:$M$6,2,FALSE))</f>
        <v>150</v>
      </c>
      <c r="E34" s="4">
        <f>IF(C34="","",Table1345[[#This Row],[Effort Estimate per Role (hours)]]*Table1345[[#This Row],[Hourly Rate]])</f>
        <v>9000</v>
      </c>
      <c r="F34" s="4">
        <f>IF(D34="","",Table1345[[#This Row],[Effort Estimate per Role (hours)]]*Table1345[[#This Row],[Hourly Rate]])</f>
        <v>9000</v>
      </c>
      <c r="G34" s="4">
        <f>IF(E34="","",Table1345[[#This Row],[Effort Estimate per Role (hours)]]*Table1345[[#This Row],[Hourly Rate]])</f>
        <v>9000</v>
      </c>
      <c r="H34" s="3"/>
    </row>
    <row r="35" spans="1:8" x14ac:dyDescent="0.2">
      <c r="A35" s="15" t="s">
        <v>15</v>
      </c>
      <c r="B35" s="16"/>
      <c r="C35" s="17"/>
      <c r="D35" s="16"/>
      <c r="E35" s="17"/>
      <c r="F35" s="19">
        <f>SUM(F33:F34)</f>
        <v>15000</v>
      </c>
      <c r="G35" s="18"/>
      <c r="H35" s="18"/>
    </row>
    <row r="36" spans="1:8" x14ac:dyDescent="0.2">
      <c r="A36" t="s">
        <v>39</v>
      </c>
      <c r="B36" s="2" t="s">
        <v>68</v>
      </c>
      <c r="C36" s="3">
        <v>140</v>
      </c>
      <c r="D36" s="4">
        <f>IF(B36="", "",VLOOKUP(Table1345[[#This Row],[Resource]], $L$2:$M$6,2,FALSE))</f>
        <v>50</v>
      </c>
      <c r="E36" s="4">
        <f>IF(C36="","",Table1345[[#This Row],[Effort Estimate per Role (hours)]]*Table1345[[#This Row],[Hourly Rate]])</f>
        <v>7000</v>
      </c>
      <c r="F36" s="4">
        <f>IF(D36="","",Table1345[[#This Row],[Effort Estimate per Role (hours)]]*Table1345[[#This Row],[Hourly Rate]])</f>
        <v>7000</v>
      </c>
      <c r="G36" s="4">
        <f>IF(E36="","",Table1345[[#This Row],[Effort Estimate per Role (hours)]]*Table1345[[#This Row],[Hourly Rate]])</f>
        <v>7000</v>
      </c>
      <c r="H36" s="3"/>
    </row>
    <row r="37" spans="1:8" x14ac:dyDescent="0.2">
      <c r="B37" s="2" t="s">
        <v>66</v>
      </c>
      <c r="C37" s="3">
        <v>50</v>
      </c>
      <c r="D37" s="4">
        <f>IF(B37="", "",VLOOKUP(Table1345[[#This Row],[Resource]], $L$2:$M$6,2,FALSE))</f>
        <v>150</v>
      </c>
      <c r="E37" s="4">
        <f>IF(C37="","",Table1345[[#This Row],[Effort Estimate per Role (hours)]]*Table1345[[#This Row],[Hourly Rate]])</f>
        <v>7500</v>
      </c>
      <c r="F37" s="4">
        <f>IF(D37="","",Table1345[[#This Row],[Effort Estimate per Role (hours)]]*Table1345[[#This Row],[Hourly Rate]])</f>
        <v>7500</v>
      </c>
      <c r="G37" s="4">
        <f>IF(E37="","",Table1345[[#This Row],[Effort Estimate per Role (hours)]]*Table1345[[#This Row],[Hourly Rate]])</f>
        <v>7500</v>
      </c>
      <c r="H37" s="3"/>
    </row>
    <row r="38" spans="1:8" x14ac:dyDescent="0.2">
      <c r="A38" s="15" t="s">
        <v>15</v>
      </c>
      <c r="B38" s="16"/>
      <c r="C38" s="17"/>
      <c r="D38" s="16"/>
      <c r="E38" s="17"/>
      <c r="F38" s="19">
        <f>SUM(F36:F37)</f>
        <v>14500</v>
      </c>
      <c r="G38" s="18"/>
      <c r="H38" s="18"/>
    </row>
    <row r="39" spans="1:8" x14ac:dyDescent="0.2">
      <c r="A39" t="s">
        <v>40</v>
      </c>
      <c r="B39" s="2" t="s">
        <v>68</v>
      </c>
      <c r="C39" s="3">
        <v>80</v>
      </c>
      <c r="D39" s="4">
        <f>IF(B39="", "",VLOOKUP(Table1345[[#This Row],[Resource]], $L$2:$M$6,2,FALSE))</f>
        <v>50</v>
      </c>
      <c r="E39" s="4">
        <f>IF(C39="","",Table1345[[#This Row],[Effort Estimate per Role (hours)]]*Table1345[[#This Row],[Hourly Rate]])</f>
        <v>4000</v>
      </c>
      <c r="F39" s="4">
        <f>IF(D39="","",Table1345[[#This Row],[Effort Estimate per Role (hours)]]*Table1345[[#This Row],[Hourly Rate]])</f>
        <v>4000</v>
      </c>
      <c r="G39" s="4">
        <f>IF(E39="","",Table1345[[#This Row],[Effort Estimate per Role (hours)]]*Table1345[[#This Row],[Hourly Rate]])</f>
        <v>4000</v>
      </c>
      <c r="H39" s="3"/>
    </row>
    <row r="40" spans="1:8" x14ac:dyDescent="0.2">
      <c r="B40" s="2" t="s">
        <v>67</v>
      </c>
      <c r="C40" s="3">
        <v>20</v>
      </c>
      <c r="D40" s="4">
        <f>IF(B40="", "",VLOOKUP(Table1345[[#This Row],[Resource]], $L$2:$M$6,2,FALSE))</f>
        <v>40</v>
      </c>
      <c r="E40" s="4">
        <f>IF(C40="","",Table1345[[#This Row],[Effort Estimate per Role (hours)]]*Table1345[[#This Row],[Hourly Rate]])</f>
        <v>800</v>
      </c>
      <c r="F40" s="4">
        <f>IF(D40="","",Table1345[[#This Row],[Effort Estimate per Role (hours)]]*Table1345[[#This Row],[Hourly Rate]])</f>
        <v>800</v>
      </c>
      <c r="G40" s="4">
        <f>IF(E40="","",Table1345[[#This Row],[Effort Estimate per Role (hours)]]*Table1345[[#This Row],[Hourly Rate]])</f>
        <v>800</v>
      </c>
      <c r="H40" s="3"/>
    </row>
    <row r="41" spans="1:8" x14ac:dyDescent="0.2">
      <c r="A41" s="15" t="s">
        <v>15</v>
      </c>
      <c r="B41" s="16"/>
      <c r="C41" s="17"/>
      <c r="D41" s="16"/>
      <c r="E41" s="17"/>
      <c r="F41" s="19">
        <f>SUM(F39:F40)</f>
        <v>4800</v>
      </c>
      <c r="G41" s="18"/>
      <c r="H41" s="18"/>
    </row>
    <row r="42" spans="1:8" x14ac:dyDescent="0.2">
      <c r="A42" t="s">
        <v>41</v>
      </c>
      <c r="B42" s="2" t="s">
        <v>68</v>
      </c>
      <c r="C42" s="3">
        <v>100</v>
      </c>
      <c r="D42" s="4">
        <f>IF(B42="", "",VLOOKUP(Table1345[[#This Row],[Resource]], $L$2:$M$6,2,FALSE))</f>
        <v>50</v>
      </c>
      <c r="E42" s="4">
        <f>IF(C42="","",Table1345[[#This Row],[Effort Estimate per Role (hours)]]*Table1345[[#This Row],[Hourly Rate]])</f>
        <v>5000</v>
      </c>
      <c r="F42" s="4">
        <f>IF(D42="","",Table1345[[#This Row],[Effort Estimate per Role (hours)]]*Table1345[[#This Row],[Hourly Rate]])</f>
        <v>5000</v>
      </c>
      <c r="G42" s="4">
        <f>IF(E42="","",Table1345[[#This Row],[Effort Estimate per Role (hours)]]*Table1345[[#This Row],[Hourly Rate]])</f>
        <v>5000</v>
      </c>
      <c r="H42" s="3"/>
    </row>
    <row r="43" spans="1:8" x14ac:dyDescent="0.2">
      <c r="B43" s="2" t="s">
        <v>66</v>
      </c>
      <c r="C43" s="3">
        <v>80</v>
      </c>
      <c r="D43" s="4">
        <f>IF(B43="", "",VLOOKUP(Table1345[[#This Row],[Resource]], $L$2:$M$6,2,FALSE))</f>
        <v>150</v>
      </c>
      <c r="E43" s="4">
        <f>IF(C43="","",Table1345[[#This Row],[Effort Estimate per Role (hours)]]*Table1345[[#This Row],[Hourly Rate]])</f>
        <v>12000</v>
      </c>
      <c r="F43" s="4">
        <f>IF(D43="","",Table1345[[#This Row],[Effort Estimate per Role (hours)]]*Table1345[[#This Row],[Hourly Rate]])</f>
        <v>12000</v>
      </c>
      <c r="G43" s="4">
        <f>IF(E43="","",Table1345[[#This Row],[Effort Estimate per Role (hours)]]*Table1345[[#This Row],[Hourly Rate]])</f>
        <v>12000</v>
      </c>
      <c r="H43" s="3"/>
    </row>
    <row r="44" spans="1:8" x14ac:dyDescent="0.2">
      <c r="A44" s="15" t="s">
        <v>15</v>
      </c>
      <c r="B44" s="16"/>
      <c r="C44" s="17"/>
      <c r="D44" s="16"/>
      <c r="E44" s="17"/>
      <c r="F44" s="19">
        <f>SUM(F42:F43)</f>
        <v>17000</v>
      </c>
      <c r="G44" s="18"/>
      <c r="H44" s="18"/>
    </row>
    <row r="45" spans="1:8" x14ac:dyDescent="0.2">
      <c r="A45" t="s">
        <v>42</v>
      </c>
      <c r="B45" s="2" t="s">
        <v>68</v>
      </c>
      <c r="C45" s="3">
        <v>100</v>
      </c>
      <c r="D45" s="4">
        <f>IF(B45="", "",VLOOKUP(Table1345[[#This Row],[Resource]], $L$2:$M$6,2,FALSE))</f>
        <v>50</v>
      </c>
      <c r="E45" s="4">
        <f>IF(C45="","",Table1345[[#This Row],[Effort Estimate per Role (hours)]]*Table1345[[#This Row],[Hourly Rate]])</f>
        <v>5000</v>
      </c>
      <c r="F45" s="4">
        <f>IF(D45="","",Table1345[[#This Row],[Effort Estimate per Role (hours)]]*Table1345[[#This Row],[Hourly Rate]])</f>
        <v>5000</v>
      </c>
      <c r="G45" s="4">
        <f>IF(E45="","",Table1345[[#This Row],[Effort Estimate per Role (hours)]]*Table1345[[#This Row],[Hourly Rate]])</f>
        <v>5000</v>
      </c>
      <c r="H45" s="3"/>
    </row>
    <row r="46" spans="1:8" x14ac:dyDescent="0.2">
      <c r="B46" s="2" t="s">
        <v>66</v>
      </c>
      <c r="C46" s="3">
        <v>80</v>
      </c>
      <c r="D46" s="4">
        <f>IF(B46="", "",VLOOKUP(Table1345[[#This Row],[Resource]], $L$2:$M$6,2,FALSE))</f>
        <v>150</v>
      </c>
      <c r="E46" s="4">
        <f>IF(C46="","",Table1345[[#This Row],[Effort Estimate per Role (hours)]]*Table1345[[#This Row],[Hourly Rate]])</f>
        <v>12000</v>
      </c>
      <c r="F46" s="4">
        <f>IF(D46="","",Table1345[[#This Row],[Effort Estimate per Role (hours)]]*Table1345[[#This Row],[Hourly Rate]])</f>
        <v>12000</v>
      </c>
      <c r="G46" s="4">
        <f>IF(E46="","",Table1345[[#This Row],[Effort Estimate per Role (hours)]]*Table1345[[#This Row],[Hourly Rate]])</f>
        <v>12000</v>
      </c>
      <c r="H46" s="3"/>
    </row>
    <row r="47" spans="1:8" x14ac:dyDescent="0.2">
      <c r="A47" s="15" t="s">
        <v>15</v>
      </c>
      <c r="B47" s="16"/>
      <c r="C47" s="17"/>
      <c r="D47" s="16"/>
      <c r="E47" s="17"/>
      <c r="F47" s="19">
        <f>SUM(F45:F46)</f>
        <v>17000</v>
      </c>
      <c r="G47" s="18"/>
      <c r="H47" s="18"/>
    </row>
    <row r="48" spans="1:8" x14ac:dyDescent="0.2">
      <c r="A48" t="s">
        <v>43</v>
      </c>
      <c r="B48" s="2" t="s">
        <v>68</v>
      </c>
      <c r="C48" s="3">
        <v>100</v>
      </c>
      <c r="D48" s="4">
        <f>IF(B48="", "",VLOOKUP(Table1345[[#This Row],[Resource]], $L$2:$M$6,2,FALSE))</f>
        <v>50</v>
      </c>
      <c r="E48" s="4">
        <f>IF(C48="","",Table1345[[#This Row],[Effort Estimate per Role (hours)]]*Table1345[[#This Row],[Hourly Rate]])</f>
        <v>5000</v>
      </c>
      <c r="F48" s="4">
        <f>IF(D48="","",Table1345[[#This Row],[Effort Estimate per Role (hours)]]*Table1345[[#This Row],[Hourly Rate]])</f>
        <v>5000</v>
      </c>
      <c r="G48" s="4">
        <f>IF(E48="","",Table1345[[#This Row],[Effort Estimate per Role (hours)]]*Table1345[[#This Row],[Hourly Rate]])</f>
        <v>5000</v>
      </c>
      <c r="H48" s="3"/>
    </row>
    <row r="49" spans="1:8" x14ac:dyDescent="0.2">
      <c r="A49" t="s">
        <v>44</v>
      </c>
      <c r="B49" s="2" t="s">
        <v>19</v>
      </c>
      <c r="C49" s="3">
        <v>20</v>
      </c>
      <c r="D49" s="4">
        <f>IF(B49="", "",VLOOKUP(Table1345[[#This Row],[Resource]], $L$2:$M$6,2,FALSE))</f>
        <v>40</v>
      </c>
      <c r="E49" s="4">
        <f>IF(C49="","",Table1345[[#This Row],[Effort Estimate per Role (hours)]]*Table1345[[#This Row],[Hourly Rate]])</f>
        <v>800</v>
      </c>
      <c r="F49" s="4">
        <f>IF(D49="","",Table1345[[#This Row],[Effort Estimate per Role (hours)]]*Table1345[[#This Row],[Hourly Rate]])</f>
        <v>800</v>
      </c>
      <c r="G49" s="4">
        <f>IF(E49="","",Table1345[[#This Row],[Effort Estimate per Role (hours)]]*Table1345[[#This Row],[Hourly Rate]])</f>
        <v>800</v>
      </c>
      <c r="H49" s="3"/>
    </row>
    <row r="50" spans="1:8" x14ac:dyDescent="0.2">
      <c r="A50" t="s">
        <v>45</v>
      </c>
      <c r="B50" s="2" t="s">
        <v>20</v>
      </c>
      <c r="C50" s="3">
        <v>15</v>
      </c>
      <c r="D50" s="4">
        <f>IF(B50="", "",VLOOKUP(Table1345[[#This Row],[Resource]], $L$2:$M$6,2,FALSE))</f>
        <v>70</v>
      </c>
      <c r="E50" s="4">
        <f>IF(C50="","",Table1345[[#This Row],[Effort Estimate per Role (hours)]]*Table1345[[#This Row],[Hourly Rate]])</f>
        <v>1050</v>
      </c>
      <c r="F50" s="4">
        <f>IF(D50="","",Table1345[[#This Row],[Effort Estimate per Role (hours)]]*Table1345[[#This Row],[Hourly Rate]])</f>
        <v>1050</v>
      </c>
      <c r="G50" s="4">
        <f>IF(E50="","",Table1345[[#This Row],[Effort Estimate per Role (hours)]]*Table1345[[#This Row],[Hourly Rate]])</f>
        <v>1050</v>
      </c>
      <c r="H50" s="3"/>
    </row>
    <row r="51" spans="1:8" x14ac:dyDescent="0.2">
      <c r="A51" s="10" t="s">
        <v>14</v>
      </c>
      <c r="B51" s="11"/>
      <c r="C51" s="8"/>
      <c r="D51" s="8" t="str">
        <f>IF(B51="", "",VLOOKUP(Table1345[[#This Row],[Resource]], $L$2:$M$6,2,FALSE))</f>
        <v/>
      </c>
      <c r="E51" s="8" t="str">
        <f>IF(C51="","",Table1345[[#This Row],[Effort Estimate per Role (hours)]]*Table1345[[#This Row],[Hourly Rate]])</f>
        <v/>
      </c>
      <c r="F51" s="9"/>
      <c r="G51" s="12">
        <f>SUM(G33:G50)</f>
        <v>75150</v>
      </c>
      <c r="H51" s="20">
        <f>Table1345[[#This Row],[Cost per Phase]]/$J$1</f>
        <v>0.30059999999999998</v>
      </c>
    </row>
    <row r="52" spans="1:8" x14ac:dyDescent="0.2">
      <c r="A52" s="21" t="s">
        <v>11</v>
      </c>
      <c r="B52" s="22"/>
      <c r="C52" s="23"/>
      <c r="D52" s="22"/>
      <c r="E52" s="23"/>
      <c r="F52" s="24"/>
      <c r="G52" s="24"/>
      <c r="H52" s="23"/>
    </row>
    <row r="53" spans="1:8" x14ac:dyDescent="0.2">
      <c r="A53" t="s">
        <v>46</v>
      </c>
      <c r="B53" s="2" t="s">
        <v>68</v>
      </c>
      <c r="C53" s="3">
        <v>100</v>
      </c>
      <c r="D53" s="4">
        <f>IF(B53="", "",VLOOKUP(Table1345[[#This Row],[Resource]], $L$2:$M$6,2,FALSE))</f>
        <v>50</v>
      </c>
      <c r="E53" s="4">
        <f>IF(C53="","",Table1345[[#This Row],[Effort Estimate per Role (hours)]]*Table1345[[#This Row],[Hourly Rate]])</f>
        <v>5000</v>
      </c>
      <c r="F53" s="4">
        <f>IF(D53="","",Table1345[[#This Row],[Effort Estimate per Role (hours)]]*Table1345[[#This Row],[Hourly Rate]])</f>
        <v>5000</v>
      </c>
      <c r="G53" s="4">
        <f>IF(E53="","",Table1345[[#This Row],[Effort Estimate per Role (hours)]]*Table1345[[#This Row],[Hourly Rate]])</f>
        <v>5000</v>
      </c>
      <c r="H53" s="3"/>
    </row>
    <row r="54" spans="1:8" x14ac:dyDescent="0.2">
      <c r="B54" s="2" t="s">
        <v>66</v>
      </c>
      <c r="C54" s="3">
        <v>50</v>
      </c>
      <c r="D54" s="4">
        <f>IF(B54="", "",VLOOKUP(Table1345[[#This Row],[Resource]], $L$2:$M$6,2,FALSE))</f>
        <v>150</v>
      </c>
      <c r="E54" s="4">
        <f>IF(C54="","",Table1345[[#This Row],[Effort Estimate per Role (hours)]]*Table1345[[#This Row],[Hourly Rate]])</f>
        <v>7500</v>
      </c>
      <c r="F54" s="4">
        <f>IF(D54="","",Table1345[[#This Row],[Effort Estimate per Role (hours)]]*Table1345[[#This Row],[Hourly Rate]])</f>
        <v>7500</v>
      </c>
      <c r="G54" s="4">
        <f>IF(E54="","",Table1345[[#This Row],[Effort Estimate per Role (hours)]]*Table1345[[#This Row],[Hourly Rate]])</f>
        <v>7500</v>
      </c>
      <c r="H54" s="3"/>
    </row>
    <row r="55" spans="1:8" x14ac:dyDescent="0.2">
      <c r="A55" s="15" t="s">
        <v>15</v>
      </c>
      <c r="B55" s="16"/>
      <c r="C55" s="17"/>
      <c r="D55" s="16"/>
      <c r="E55" s="17"/>
      <c r="F55" s="19">
        <f>SUM(F53:F54)</f>
        <v>12500</v>
      </c>
      <c r="G55" s="18"/>
      <c r="H55" s="18"/>
    </row>
    <row r="56" spans="1:8" x14ac:dyDescent="0.2">
      <c r="A56" t="s">
        <v>47</v>
      </c>
      <c r="B56" s="2" t="s">
        <v>68</v>
      </c>
      <c r="C56" s="3">
        <v>50</v>
      </c>
      <c r="D56" s="4">
        <f>IF(B56="", "",VLOOKUP(Table1345[[#This Row],[Resource]], $L$2:$M$6,2,FALSE))</f>
        <v>50</v>
      </c>
      <c r="E56" s="4">
        <f>IF(C56="","",Table1345[[#This Row],[Effort Estimate per Role (hours)]]*Table1345[[#This Row],[Hourly Rate]])</f>
        <v>2500</v>
      </c>
      <c r="F56" s="4">
        <f>IF(D56="","",Table1345[[#This Row],[Effort Estimate per Role (hours)]]*Table1345[[#This Row],[Hourly Rate]])</f>
        <v>2500</v>
      </c>
      <c r="G56" s="4">
        <f>IF(E56="","",Table1345[[#This Row],[Effort Estimate per Role (hours)]]*Table1345[[#This Row],[Hourly Rate]])</f>
        <v>2500</v>
      </c>
      <c r="H56" s="3"/>
    </row>
    <row r="57" spans="1:8" x14ac:dyDescent="0.2">
      <c r="B57" s="2" t="s">
        <v>66</v>
      </c>
      <c r="C57" s="3">
        <v>50</v>
      </c>
      <c r="D57" s="4">
        <f>IF(B57="", "",VLOOKUP(Table1345[[#This Row],[Resource]], $L$2:$M$6,2,FALSE))</f>
        <v>150</v>
      </c>
      <c r="E57" s="4">
        <f>IF(C57="","",Table1345[[#This Row],[Effort Estimate per Role (hours)]]*Table1345[[#This Row],[Hourly Rate]])</f>
        <v>7500</v>
      </c>
      <c r="F57" s="4">
        <f>IF(D57="","",Table1345[[#This Row],[Effort Estimate per Role (hours)]]*Table1345[[#This Row],[Hourly Rate]])</f>
        <v>7500</v>
      </c>
      <c r="G57" s="4">
        <f>IF(E57="","",Table1345[[#This Row],[Effort Estimate per Role (hours)]]*Table1345[[#This Row],[Hourly Rate]])</f>
        <v>7500</v>
      </c>
      <c r="H57" s="3"/>
    </row>
    <row r="58" spans="1:8" x14ac:dyDescent="0.2">
      <c r="A58" s="15" t="s">
        <v>15</v>
      </c>
      <c r="B58" s="16"/>
      <c r="C58" s="17"/>
      <c r="D58" s="16"/>
      <c r="E58" s="17"/>
      <c r="F58" s="19">
        <f>SUM(F56:F57)</f>
        <v>10000</v>
      </c>
      <c r="G58" s="18"/>
      <c r="H58" s="18"/>
    </row>
    <row r="59" spans="1:8" x14ac:dyDescent="0.2">
      <c r="A59" t="s">
        <v>48</v>
      </c>
      <c r="B59" s="2" t="s">
        <v>67</v>
      </c>
      <c r="C59" s="3">
        <v>60</v>
      </c>
      <c r="D59" s="4">
        <f>IF(B59="", "",VLOOKUP(Table1345[[#This Row],[Resource]], $L$2:$M$6,2,FALSE))</f>
        <v>40</v>
      </c>
      <c r="E59" s="4">
        <f>IF(C59="","",Table1345[[#This Row],[Effort Estimate per Role (hours)]]*Table1345[[#This Row],[Hourly Rate]])</f>
        <v>2400</v>
      </c>
      <c r="F59" s="4">
        <f>IF(D59="","",Table1345[[#This Row],[Effort Estimate per Role (hours)]]*Table1345[[#This Row],[Hourly Rate]])</f>
        <v>2400</v>
      </c>
      <c r="G59" s="4">
        <f>IF(E59="","",Table1345[[#This Row],[Effort Estimate per Role (hours)]]*Table1345[[#This Row],[Hourly Rate]])</f>
        <v>2400</v>
      </c>
      <c r="H59" s="3"/>
    </row>
    <row r="60" spans="1:8" x14ac:dyDescent="0.2">
      <c r="B60" s="2" t="s">
        <v>19</v>
      </c>
      <c r="C60" s="3">
        <v>25</v>
      </c>
      <c r="D60" s="4">
        <f>IF(B60="", "",VLOOKUP(Table1345[[#This Row],[Resource]], $L$2:$M$6,2,FALSE))</f>
        <v>40</v>
      </c>
      <c r="E60" s="4">
        <f>IF(C60="","",Table1345[[#This Row],[Effort Estimate per Role (hours)]]*Table1345[[#This Row],[Hourly Rate]])</f>
        <v>1000</v>
      </c>
      <c r="F60" s="4">
        <f>IF(D60="","",Table1345[[#This Row],[Effort Estimate per Role (hours)]]*Table1345[[#This Row],[Hourly Rate]])</f>
        <v>1000</v>
      </c>
      <c r="G60" s="4">
        <f>IF(E60="","",Table1345[[#This Row],[Effort Estimate per Role (hours)]]*Table1345[[#This Row],[Hourly Rate]])</f>
        <v>1000</v>
      </c>
      <c r="H60" s="3"/>
    </row>
    <row r="61" spans="1:8" x14ac:dyDescent="0.2">
      <c r="A61" s="15" t="s">
        <v>15</v>
      </c>
      <c r="B61" s="16"/>
      <c r="C61" s="17"/>
      <c r="D61" s="16"/>
      <c r="E61" s="17"/>
      <c r="F61" s="19">
        <f>SUM(F59:F60)</f>
        <v>3400</v>
      </c>
      <c r="G61" s="18"/>
      <c r="H61" s="18"/>
    </row>
    <row r="62" spans="1:8" x14ac:dyDescent="0.2">
      <c r="A62" t="s">
        <v>49</v>
      </c>
      <c r="B62" s="2" t="s">
        <v>68</v>
      </c>
      <c r="C62" s="3">
        <v>70</v>
      </c>
      <c r="D62" s="4">
        <f>IF(B62="", "",VLOOKUP(Table1345[[#This Row],[Resource]], $L$2:$M$6,2,FALSE))</f>
        <v>50</v>
      </c>
      <c r="E62" s="4">
        <f>IF(C62="","",Table1345[[#This Row],[Effort Estimate per Role (hours)]]*Table1345[[#This Row],[Hourly Rate]])</f>
        <v>3500</v>
      </c>
      <c r="F62" s="4">
        <f>IF(D62="","",Table1345[[#This Row],[Effort Estimate per Role (hours)]]*Table1345[[#This Row],[Hourly Rate]])</f>
        <v>3500</v>
      </c>
      <c r="G62" s="4">
        <f>IF(E62="","",Table1345[[#This Row],[Effort Estimate per Role (hours)]]*Table1345[[#This Row],[Hourly Rate]])</f>
        <v>3500</v>
      </c>
      <c r="H62" s="3"/>
    </row>
    <row r="63" spans="1:8" x14ac:dyDescent="0.2">
      <c r="B63" s="2" t="s">
        <v>19</v>
      </c>
      <c r="C63" s="3">
        <v>30</v>
      </c>
      <c r="D63" s="4">
        <f>IF(B63="", "",VLOOKUP(Table1345[[#This Row],[Resource]], $L$2:$M$6,2,FALSE))</f>
        <v>40</v>
      </c>
      <c r="E63" s="4">
        <f>IF(C63="","",Table1345[[#This Row],[Effort Estimate per Role (hours)]]*Table1345[[#This Row],[Hourly Rate]])</f>
        <v>1200</v>
      </c>
      <c r="F63" s="4">
        <f>IF(D63="","",Table1345[[#This Row],[Effort Estimate per Role (hours)]]*Table1345[[#This Row],[Hourly Rate]])</f>
        <v>1200</v>
      </c>
      <c r="G63" s="4">
        <f>IF(E63="","",Table1345[[#This Row],[Effort Estimate per Role (hours)]]*Table1345[[#This Row],[Hourly Rate]])</f>
        <v>1200</v>
      </c>
      <c r="H63" s="3"/>
    </row>
    <row r="64" spans="1:8" x14ac:dyDescent="0.2">
      <c r="A64" s="15" t="s">
        <v>15</v>
      </c>
      <c r="B64" s="16"/>
      <c r="C64" s="17"/>
      <c r="D64" s="16"/>
      <c r="E64" s="17"/>
      <c r="F64" s="19">
        <f>SUM(F62:F63)</f>
        <v>4700</v>
      </c>
      <c r="G64" s="18"/>
      <c r="H64" s="18"/>
    </row>
    <row r="65" spans="1:8" x14ac:dyDescent="0.2">
      <c r="A65" t="s">
        <v>50</v>
      </c>
      <c r="B65" s="2" t="s">
        <v>19</v>
      </c>
      <c r="C65" s="3">
        <v>50</v>
      </c>
      <c r="D65" s="4">
        <f>IF(B65="", "",VLOOKUP(Table1345[[#This Row],[Resource]], $L$2:$M$6,2,FALSE))</f>
        <v>40</v>
      </c>
      <c r="E65" s="4">
        <f>IF(C65="","",Table1345[[#This Row],[Effort Estimate per Role (hours)]]*Table1345[[#This Row],[Hourly Rate]])</f>
        <v>2000</v>
      </c>
      <c r="F65" s="4">
        <f>IF(D65="","",Table1345[[#This Row],[Effort Estimate per Role (hours)]]*Table1345[[#This Row],[Hourly Rate]])</f>
        <v>2000</v>
      </c>
      <c r="G65" s="4">
        <f>IF(E65="","",Table1345[[#This Row],[Effort Estimate per Role (hours)]]*Table1345[[#This Row],[Hourly Rate]])</f>
        <v>2000</v>
      </c>
      <c r="H65" s="3"/>
    </row>
    <row r="66" spans="1:8" x14ac:dyDescent="0.2">
      <c r="B66" s="2" t="s">
        <v>67</v>
      </c>
      <c r="C66" s="3">
        <v>40</v>
      </c>
      <c r="D66" s="4">
        <f>IF(B66="", "",VLOOKUP(Table1345[[#This Row],[Resource]], $L$2:$M$6,2,FALSE))</f>
        <v>40</v>
      </c>
      <c r="E66" s="4">
        <f>IF(C66="","",Table1345[[#This Row],[Effort Estimate per Role (hours)]]*Table1345[[#This Row],[Hourly Rate]])</f>
        <v>1600</v>
      </c>
      <c r="F66" s="4">
        <f>IF(D66="","",Table1345[[#This Row],[Effort Estimate per Role (hours)]]*Table1345[[#This Row],[Hourly Rate]])</f>
        <v>1600</v>
      </c>
      <c r="G66" s="4">
        <f>IF(E66="","",Table1345[[#This Row],[Effort Estimate per Role (hours)]]*Table1345[[#This Row],[Hourly Rate]])</f>
        <v>1600</v>
      </c>
      <c r="H66" s="3"/>
    </row>
    <row r="67" spans="1:8" x14ac:dyDescent="0.2">
      <c r="A67" s="15" t="s">
        <v>15</v>
      </c>
      <c r="B67" s="16"/>
      <c r="C67" s="17"/>
      <c r="D67" s="16"/>
      <c r="E67" s="17"/>
      <c r="F67" s="19">
        <f>SUM(F65:F66)</f>
        <v>3600</v>
      </c>
      <c r="G67" s="18"/>
      <c r="H67" s="18"/>
    </row>
    <row r="68" spans="1:8" x14ac:dyDescent="0.2">
      <c r="A68" t="s">
        <v>51</v>
      </c>
      <c r="B68" s="2" t="s">
        <v>19</v>
      </c>
      <c r="C68" s="3">
        <v>30</v>
      </c>
      <c r="D68" s="4">
        <f>IF(B68="", "",VLOOKUP(Table1345[[#This Row],[Resource]], $L$2:$M$6,2,FALSE))</f>
        <v>40</v>
      </c>
      <c r="E68" s="4">
        <f>IF(C68="","",Table1345[[#This Row],[Effort Estimate per Role (hours)]]*Table1345[[#This Row],[Hourly Rate]])</f>
        <v>1200</v>
      </c>
      <c r="F68" s="4">
        <f>IF(D68="","",Table1345[[#This Row],[Effort Estimate per Role (hours)]]*Table1345[[#This Row],[Hourly Rate]])</f>
        <v>1200</v>
      </c>
      <c r="G68" s="4">
        <f>IF(E68="","",Table1345[[#This Row],[Effort Estimate per Role (hours)]]*Table1345[[#This Row],[Hourly Rate]])</f>
        <v>1200</v>
      </c>
      <c r="H68" s="3"/>
    </row>
    <row r="69" spans="1:8" x14ac:dyDescent="0.2">
      <c r="A69" t="s">
        <v>52</v>
      </c>
      <c r="B69" s="2" t="s">
        <v>68</v>
      </c>
      <c r="C69" s="3">
        <v>30</v>
      </c>
      <c r="D69" s="4">
        <f>IF(B69="", "",VLOOKUP(Table1345[[#This Row],[Resource]], $L$2:$M$6,2,FALSE))</f>
        <v>50</v>
      </c>
      <c r="E69" s="4">
        <f>IF(C69="","",Table1345[[#This Row],[Effort Estimate per Role (hours)]]*Table1345[[#This Row],[Hourly Rate]])</f>
        <v>1500</v>
      </c>
      <c r="F69" s="4">
        <f>IF(D69="","",Table1345[[#This Row],[Effort Estimate per Role (hours)]]*Table1345[[#This Row],[Hourly Rate]])</f>
        <v>1500</v>
      </c>
      <c r="G69" s="4">
        <f>IF(E69="","",Table1345[[#This Row],[Effort Estimate per Role (hours)]]*Table1345[[#This Row],[Hourly Rate]])</f>
        <v>1500</v>
      </c>
      <c r="H69" s="3"/>
    </row>
    <row r="70" spans="1:8" x14ac:dyDescent="0.2">
      <c r="A70" s="10" t="s">
        <v>14</v>
      </c>
      <c r="B70" s="11"/>
      <c r="C70" s="8"/>
      <c r="D70" s="8" t="str">
        <f>IF(B70="", "",VLOOKUP(Table1345[[#This Row],[Resource]], $L$2:$M$6,2,FALSE))</f>
        <v/>
      </c>
      <c r="E70" s="8" t="str">
        <f>IF(C70="","",Table1345[[#This Row],[Effort Estimate per Role (hours)]]*Table1345[[#This Row],[Hourly Rate]])</f>
        <v/>
      </c>
      <c r="F70" s="9"/>
      <c r="G70" s="12">
        <f>SUM(G53:G69)</f>
        <v>36900</v>
      </c>
      <c r="H70" s="20">
        <f>Table1345[[#This Row],[Cost per Phase]]/J1</f>
        <v>0.14760000000000001</v>
      </c>
    </row>
    <row r="71" spans="1:8" x14ac:dyDescent="0.2">
      <c r="A71" s="21" t="s">
        <v>12</v>
      </c>
      <c r="B71" s="22"/>
      <c r="C71" s="23"/>
      <c r="D71" s="22"/>
      <c r="E71" s="23"/>
      <c r="F71" s="24"/>
      <c r="G71" s="24"/>
      <c r="H71" s="23"/>
    </row>
    <row r="72" spans="1:8" x14ac:dyDescent="0.2">
      <c r="A72" t="s">
        <v>53</v>
      </c>
      <c r="B72" s="2" t="s">
        <v>68</v>
      </c>
      <c r="C72" s="3">
        <v>20</v>
      </c>
      <c r="D72" s="4">
        <f>IF(B72="", "",VLOOKUP(Table1345[[#This Row],[Resource]], $L$2:$M$6,2,FALSE))</f>
        <v>50</v>
      </c>
      <c r="E72" s="4">
        <f>IF(C72="","",Table1345[[#This Row],[Effort Estimate per Role (hours)]]*Table1345[[#This Row],[Hourly Rate]])</f>
        <v>1000</v>
      </c>
      <c r="F72" s="4">
        <f>IF(D72="","",Table1345[[#This Row],[Effort Estimate per Role (hours)]]*Table1345[[#This Row],[Hourly Rate]])</f>
        <v>1000</v>
      </c>
      <c r="G72" s="4">
        <f>IF(E72="","",Table1345[[#This Row],[Effort Estimate per Role (hours)]]*Table1345[[#This Row],[Hourly Rate]])</f>
        <v>1000</v>
      </c>
      <c r="H72" s="3"/>
    </row>
    <row r="73" spans="1:8" x14ac:dyDescent="0.2">
      <c r="B73" s="2" t="s">
        <v>66</v>
      </c>
      <c r="C73" s="3">
        <v>30</v>
      </c>
      <c r="D73" s="4">
        <f>IF(B73="", "",VLOOKUP(Table1345[[#This Row],[Resource]], $L$2:$M$6,2,FALSE))</f>
        <v>150</v>
      </c>
      <c r="E73" s="4">
        <f>IF(C73="","",Table1345[[#This Row],[Effort Estimate per Role (hours)]]*Table1345[[#This Row],[Hourly Rate]])</f>
        <v>4500</v>
      </c>
      <c r="F73" s="4">
        <f>IF(D73="","",Table1345[[#This Row],[Effort Estimate per Role (hours)]]*Table1345[[#This Row],[Hourly Rate]])</f>
        <v>4500</v>
      </c>
      <c r="G73" s="4">
        <f>IF(E73="","",Table1345[[#This Row],[Effort Estimate per Role (hours)]]*Table1345[[#This Row],[Hourly Rate]])</f>
        <v>4500</v>
      </c>
      <c r="H73" s="3"/>
    </row>
    <row r="74" spans="1:8" x14ac:dyDescent="0.2">
      <c r="A74" s="15" t="s">
        <v>15</v>
      </c>
      <c r="B74" s="16"/>
      <c r="C74" s="17"/>
      <c r="D74" s="17" t="str">
        <f>IF(B74="", "",VLOOKUP(Table1345[[#This Row],[Resource]], $L$2:$M$6,2,FALSE))</f>
        <v/>
      </c>
      <c r="E74" s="17" t="str">
        <f>IF(C74="","",Table1345[[#This Row],[Effort Estimate per Role (hours)]]*Table1345[[#This Row],[Hourly Rate]])</f>
        <v/>
      </c>
      <c r="F74" s="19">
        <f>SUM(F72:F73)</f>
        <v>5500</v>
      </c>
      <c r="G74" s="18"/>
      <c r="H74" s="18"/>
    </row>
    <row r="75" spans="1:8" x14ac:dyDescent="0.2">
      <c r="A75" t="s">
        <v>54</v>
      </c>
      <c r="B75" s="2" t="s">
        <v>68</v>
      </c>
      <c r="C75" s="3">
        <v>40</v>
      </c>
      <c r="D75" s="4">
        <f>IF(B75="", "",VLOOKUP(Table1345[[#This Row],[Resource]], $L$2:$M$6,2,FALSE))</f>
        <v>50</v>
      </c>
      <c r="E75" s="4">
        <f>IF(C75="","",Table1345[[#This Row],[Effort Estimate per Role (hours)]]*Table1345[[#This Row],[Hourly Rate]])</f>
        <v>2000</v>
      </c>
      <c r="F75" s="4">
        <f>IF(D75="","",Table1345[[#This Row],[Effort Estimate per Role (hours)]]*Table1345[[#This Row],[Hourly Rate]])</f>
        <v>2000</v>
      </c>
      <c r="G75" s="4">
        <f>IF(E75="","",Table1345[[#This Row],[Effort Estimate per Role (hours)]]*Table1345[[#This Row],[Hourly Rate]])</f>
        <v>2000</v>
      </c>
      <c r="H75" s="3"/>
    </row>
    <row r="76" spans="1:8" x14ac:dyDescent="0.2">
      <c r="A76" t="s">
        <v>55</v>
      </c>
      <c r="B76" s="2" t="s">
        <v>67</v>
      </c>
      <c r="C76" s="3">
        <v>100</v>
      </c>
      <c r="D76" s="4">
        <f>IF(B76="", "",VLOOKUP(Table1345[[#This Row],[Resource]], $L$2:$M$6,2,FALSE))</f>
        <v>40</v>
      </c>
      <c r="E76" s="4">
        <f>IF(C76="","",Table1345[[#This Row],[Effort Estimate per Role (hours)]]*Table1345[[#This Row],[Hourly Rate]])</f>
        <v>4000</v>
      </c>
      <c r="F76" s="4">
        <f>IF(D76="","",Table1345[[#This Row],[Effort Estimate per Role (hours)]]*Table1345[[#This Row],[Hourly Rate]])</f>
        <v>4000</v>
      </c>
      <c r="G76" s="4">
        <f>IF(E76="","",Table1345[[#This Row],[Effort Estimate per Role (hours)]]*Table1345[[#This Row],[Hourly Rate]])</f>
        <v>4000</v>
      </c>
      <c r="H76" s="3"/>
    </row>
    <row r="77" spans="1:8" x14ac:dyDescent="0.2">
      <c r="B77" s="2" t="s">
        <v>20</v>
      </c>
      <c r="C77" s="3">
        <v>15</v>
      </c>
      <c r="D77" s="4">
        <f>IF(B77="", "",VLOOKUP(Table1345[[#This Row],[Resource]], $L$2:$M$6,2,FALSE))</f>
        <v>70</v>
      </c>
      <c r="E77" s="4">
        <f>IF(C77="","",Table1345[[#This Row],[Effort Estimate per Role (hours)]]*Table1345[[#This Row],[Hourly Rate]])</f>
        <v>1050</v>
      </c>
      <c r="F77" s="4">
        <f>IF(D77="","",Table1345[[#This Row],[Effort Estimate per Role (hours)]]*Table1345[[#This Row],[Hourly Rate]])</f>
        <v>1050</v>
      </c>
      <c r="G77" s="4">
        <f>IF(E77="","",Table1345[[#This Row],[Effort Estimate per Role (hours)]]*Table1345[[#This Row],[Hourly Rate]])</f>
        <v>1050</v>
      </c>
      <c r="H77" s="3"/>
    </row>
    <row r="78" spans="1:8" x14ac:dyDescent="0.2">
      <c r="A78" s="15" t="s">
        <v>15</v>
      </c>
      <c r="B78" s="16"/>
      <c r="C78" s="17"/>
      <c r="D78" s="17" t="str">
        <f>IF(B78="", "",VLOOKUP(Table1345[[#This Row],[Resource]], $L$2:$M$6,2,FALSE))</f>
        <v/>
      </c>
      <c r="E78" s="17" t="str">
        <f>IF(C78="","",Table1345[[#This Row],[Effort Estimate per Role (hours)]]*Table1345[[#This Row],[Hourly Rate]])</f>
        <v/>
      </c>
      <c r="F78" s="19">
        <f>SUM(F76:F77)</f>
        <v>5050</v>
      </c>
      <c r="G78" s="18"/>
      <c r="H78" s="18"/>
    </row>
    <row r="79" spans="1:8" x14ac:dyDescent="0.2">
      <c r="A79" t="s">
        <v>56</v>
      </c>
      <c r="B79" s="2" t="s">
        <v>20</v>
      </c>
      <c r="C79" s="3">
        <v>20</v>
      </c>
      <c r="D79" s="4">
        <f>IF(B79="", "",VLOOKUP(Table1345[[#This Row],[Resource]], $L$2:$M$6,2,FALSE))</f>
        <v>70</v>
      </c>
      <c r="E79" s="4">
        <f>IF(C79="","",Table1345[[#This Row],[Effort Estimate per Role (hours)]]*Table1345[[#This Row],[Hourly Rate]])</f>
        <v>1400</v>
      </c>
      <c r="F79" s="4">
        <f>IF(D79="","",Table1345[[#This Row],[Effort Estimate per Role (hours)]]*Table1345[[#This Row],[Hourly Rate]])</f>
        <v>1400</v>
      </c>
      <c r="G79" s="4">
        <f>IF(E79="","",Table1345[[#This Row],[Effort Estimate per Role (hours)]]*Table1345[[#This Row],[Hourly Rate]])</f>
        <v>1400</v>
      </c>
      <c r="H79" s="3"/>
    </row>
    <row r="80" spans="1:8" x14ac:dyDescent="0.2">
      <c r="B80" s="2" t="s">
        <v>66</v>
      </c>
      <c r="C80" s="3">
        <v>10</v>
      </c>
      <c r="D80" s="4">
        <f>IF(B80="", "",VLOOKUP(Table1345[[#This Row],[Resource]], $L$2:$M$6,2,FALSE))</f>
        <v>150</v>
      </c>
      <c r="E80" s="4">
        <f>IF(C80="","",Table1345[[#This Row],[Effort Estimate per Role (hours)]]*Table1345[[#This Row],[Hourly Rate]])</f>
        <v>1500</v>
      </c>
      <c r="F80" s="4">
        <f>IF(D80="","",Table1345[[#This Row],[Effort Estimate per Role (hours)]]*Table1345[[#This Row],[Hourly Rate]])</f>
        <v>1500</v>
      </c>
      <c r="G80" s="4">
        <f>IF(E80="","",Table1345[[#This Row],[Effort Estimate per Role (hours)]]*Table1345[[#This Row],[Hourly Rate]])</f>
        <v>1500</v>
      </c>
      <c r="H80" s="3"/>
    </row>
    <row r="81" spans="1:8" x14ac:dyDescent="0.2">
      <c r="A81" s="15" t="s">
        <v>15</v>
      </c>
      <c r="B81" s="16"/>
      <c r="C81" s="17"/>
      <c r="D81" s="17" t="str">
        <f>IF(B81="", "",VLOOKUP(Table1345[[#This Row],[Resource]], $L$2:$M$6,2,FALSE))</f>
        <v/>
      </c>
      <c r="E81" s="17" t="str">
        <f>IF(C81="","",Table1345[[#This Row],[Effort Estimate per Role (hours)]]*Table1345[[#This Row],[Hourly Rate]])</f>
        <v/>
      </c>
      <c r="F81" s="19">
        <f>SUM(F79:F80)</f>
        <v>2900</v>
      </c>
      <c r="G81" s="18"/>
      <c r="H81" s="18"/>
    </row>
    <row r="82" spans="1:8" x14ac:dyDescent="0.2">
      <c r="A82" t="s">
        <v>57</v>
      </c>
      <c r="B82" s="2" t="s">
        <v>20</v>
      </c>
      <c r="C82" s="3">
        <v>15</v>
      </c>
      <c r="D82" s="4">
        <f>IF(B82="", "",VLOOKUP(Table1345[[#This Row],[Resource]], $L$2:$M$6,2,FALSE))</f>
        <v>70</v>
      </c>
      <c r="E82" s="4">
        <f>IF(C82="","",Table1345[[#This Row],[Effort Estimate per Role (hours)]]*Table1345[[#This Row],[Hourly Rate]])</f>
        <v>1050</v>
      </c>
      <c r="F82" s="4">
        <f>IF(D82="","",Table1345[[#This Row],[Effort Estimate per Role (hours)]]*Table1345[[#This Row],[Hourly Rate]])</f>
        <v>1050</v>
      </c>
      <c r="G82" s="4">
        <f>IF(E82="","",Table1345[[#This Row],[Effort Estimate per Role (hours)]]*Table1345[[#This Row],[Hourly Rate]])</f>
        <v>1050</v>
      </c>
      <c r="H82" s="3"/>
    </row>
    <row r="83" spans="1:8" x14ac:dyDescent="0.2">
      <c r="A83" t="s">
        <v>58</v>
      </c>
      <c r="B83" s="2" t="s">
        <v>68</v>
      </c>
      <c r="C83" s="3">
        <v>40</v>
      </c>
      <c r="D83" s="4">
        <f>IF(B83="", "",VLOOKUP(Table1345[[#This Row],[Resource]], $L$2:$M$6,2,FALSE))</f>
        <v>50</v>
      </c>
      <c r="E83" s="4">
        <f>IF(C83="","",Table1345[[#This Row],[Effort Estimate per Role (hours)]]*Table1345[[#This Row],[Hourly Rate]])</f>
        <v>2000</v>
      </c>
      <c r="F83" s="4">
        <f>IF(D83="","",Table1345[[#This Row],[Effort Estimate per Role (hours)]]*Table1345[[#This Row],[Hourly Rate]])</f>
        <v>2000</v>
      </c>
      <c r="G83" s="4">
        <f>IF(E83="","",Table1345[[#This Row],[Effort Estimate per Role (hours)]]*Table1345[[#This Row],[Hourly Rate]])</f>
        <v>2000</v>
      </c>
      <c r="H83" s="3"/>
    </row>
    <row r="84" spans="1:8" x14ac:dyDescent="0.2">
      <c r="A84" t="s">
        <v>59</v>
      </c>
      <c r="B84" s="2" t="s">
        <v>19</v>
      </c>
      <c r="C84" s="3">
        <v>40</v>
      </c>
      <c r="D84" s="4">
        <f>IF(B84="", "",VLOOKUP(Table1345[[#This Row],[Resource]], $L$2:$M$6,2,FALSE))</f>
        <v>40</v>
      </c>
      <c r="E84" s="4">
        <f>IF(C84="","",Table1345[[#This Row],[Effort Estimate per Role (hours)]]*Table1345[[#This Row],[Hourly Rate]])</f>
        <v>1600</v>
      </c>
      <c r="F84" s="4">
        <f>IF(D84="","",Table1345[[#This Row],[Effort Estimate per Role (hours)]]*Table1345[[#This Row],[Hourly Rate]])</f>
        <v>1600</v>
      </c>
      <c r="G84" s="4">
        <f>IF(E84="","",Table1345[[#This Row],[Effort Estimate per Role (hours)]]*Table1345[[#This Row],[Hourly Rate]])</f>
        <v>1600</v>
      </c>
      <c r="H84" s="3"/>
    </row>
    <row r="85" spans="1:8" x14ac:dyDescent="0.2">
      <c r="A85" s="10" t="s">
        <v>14</v>
      </c>
      <c r="B85" s="11"/>
      <c r="C85" s="8"/>
      <c r="D85" s="8" t="str">
        <f>IF(B85="", "",VLOOKUP(Table1345[[#This Row],[Resource]], $L$2:$M$6,2,FALSE))</f>
        <v/>
      </c>
      <c r="E85" s="8" t="str">
        <f>IF(C85="","",Table1345[[#This Row],[Effort Estimate per Role (hours)]]*Table1345[[#This Row],[Hourly Rate]])</f>
        <v/>
      </c>
      <c r="F85" s="9"/>
      <c r="G85" s="12">
        <f>SUM(G72:G84)</f>
        <v>20100</v>
      </c>
      <c r="H85" s="35">
        <f>Table1345[[#This Row],[Cost per Phase]]/$J$1</f>
        <v>8.0399999999999999E-2</v>
      </c>
    </row>
    <row r="86" spans="1:8" x14ac:dyDescent="0.2">
      <c r="A86" s="21" t="s">
        <v>13</v>
      </c>
      <c r="B86" s="22"/>
      <c r="C86" s="23"/>
      <c r="D86" s="22"/>
      <c r="E86" s="23"/>
      <c r="F86" s="24"/>
      <c r="G86" s="24"/>
      <c r="H86" s="23"/>
    </row>
    <row r="87" spans="1:8" x14ac:dyDescent="0.2">
      <c r="A87" t="s">
        <v>60</v>
      </c>
      <c r="B87" s="2" t="s">
        <v>68</v>
      </c>
      <c r="C87" s="3">
        <v>40</v>
      </c>
      <c r="D87" s="4">
        <f>IF(B87="", "",VLOOKUP(Table1345[[#This Row],[Resource]], $L$2:$M$6,2,FALSE))</f>
        <v>50</v>
      </c>
      <c r="E87" s="4">
        <f>IF(C87="","",Table1345[[#This Row],[Effort Estimate per Role (hours)]]*Table1345[[#This Row],[Hourly Rate]])</f>
        <v>2000</v>
      </c>
      <c r="F87" s="4">
        <f>IF(D87="","",Table1345[[#This Row],[Effort Estimate per Role (hours)]]*Table1345[[#This Row],[Hourly Rate]])</f>
        <v>2000</v>
      </c>
      <c r="G87" s="4">
        <f>IF(E87="","",Table1345[[#This Row],[Effort Estimate per Role (hours)]]*Table1345[[#This Row],[Hourly Rate]])</f>
        <v>2000</v>
      </c>
      <c r="H87" s="3"/>
    </row>
    <row r="88" spans="1:8" x14ac:dyDescent="0.2">
      <c r="B88" s="2" t="s">
        <v>67</v>
      </c>
      <c r="C88" s="3">
        <v>40</v>
      </c>
      <c r="D88" s="4">
        <f>IF(B88="", "",VLOOKUP(Table1345[[#This Row],[Resource]], $L$2:$M$6,2,FALSE))</f>
        <v>40</v>
      </c>
      <c r="E88" s="4">
        <f>IF(C88="","",Table1345[[#This Row],[Effort Estimate per Role (hours)]]*Table1345[[#This Row],[Hourly Rate]])</f>
        <v>1600</v>
      </c>
      <c r="F88" s="4">
        <f>IF(D88="","",Table1345[[#This Row],[Effort Estimate per Role (hours)]]*Table1345[[#This Row],[Hourly Rate]])</f>
        <v>1600</v>
      </c>
      <c r="G88" s="4">
        <f>IF(E88="","",Table1345[[#This Row],[Effort Estimate per Role (hours)]]*Table1345[[#This Row],[Hourly Rate]])</f>
        <v>1600</v>
      </c>
      <c r="H88" s="3"/>
    </row>
    <row r="89" spans="1:8" x14ac:dyDescent="0.2">
      <c r="A89" s="15" t="s">
        <v>15</v>
      </c>
      <c r="B89" s="16"/>
      <c r="C89" s="17"/>
      <c r="D89" s="17" t="str">
        <f>IF(B89="", "",VLOOKUP(Table1345[[#This Row],[Resource]], $L$2:$M$6,2,FALSE))</f>
        <v/>
      </c>
      <c r="E89" s="17" t="str">
        <f>IF(C89="","",Table1345[[#This Row],[Effort Estimate per Role (hours)]]*Table1345[[#This Row],[Hourly Rate]])</f>
        <v/>
      </c>
      <c r="F89" s="19">
        <f>SUM(F87:F88)</f>
        <v>3600</v>
      </c>
      <c r="G89" s="18"/>
      <c r="H89" s="18"/>
    </row>
    <row r="90" spans="1:8" x14ac:dyDescent="0.2">
      <c r="A90" t="s">
        <v>61</v>
      </c>
      <c r="B90" s="2" t="s">
        <v>20</v>
      </c>
      <c r="C90" s="3">
        <v>15</v>
      </c>
      <c r="D90" s="4">
        <f>IF(B90="", "",VLOOKUP(Table1345[[#This Row],[Resource]], $L$2:$M$6,2,FALSE))</f>
        <v>70</v>
      </c>
      <c r="E90" s="4">
        <f>IF(C90="","",Table1345[[#This Row],[Effort Estimate per Role (hours)]]*Table1345[[#This Row],[Hourly Rate]])</f>
        <v>1050</v>
      </c>
      <c r="F90" s="4">
        <f>IF(D90="","",Table1345[[#This Row],[Effort Estimate per Role (hours)]]*Table1345[[#This Row],[Hourly Rate]])</f>
        <v>1050</v>
      </c>
      <c r="G90" s="4">
        <f>IF(E90="","",Table1345[[#This Row],[Effort Estimate per Role (hours)]]*Table1345[[#This Row],[Hourly Rate]])</f>
        <v>1050</v>
      </c>
      <c r="H90" s="3"/>
    </row>
    <row r="91" spans="1:8" x14ac:dyDescent="0.2">
      <c r="A91" t="s">
        <v>62</v>
      </c>
      <c r="B91" s="2" t="s">
        <v>20</v>
      </c>
      <c r="C91" s="3">
        <v>15</v>
      </c>
      <c r="D91" s="4">
        <f>IF(B91="", "",VLOOKUP(Table1345[[#This Row],[Resource]], $L$2:$M$6,2,FALSE))</f>
        <v>70</v>
      </c>
      <c r="E91" s="4">
        <f>IF(C91="","",Table1345[[#This Row],[Effort Estimate per Role (hours)]]*Table1345[[#This Row],[Hourly Rate]])</f>
        <v>1050</v>
      </c>
      <c r="F91" s="4">
        <f>IF(D91="","",Table1345[[#This Row],[Effort Estimate per Role (hours)]]*Table1345[[#This Row],[Hourly Rate]])</f>
        <v>1050</v>
      </c>
      <c r="G91" s="4">
        <f>IF(E91="","",Table1345[[#This Row],[Effort Estimate per Role (hours)]]*Table1345[[#This Row],[Hourly Rate]])</f>
        <v>1050</v>
      </c>
      <c r="H91" s="3"/>
    </row>
    <row r="92" spans="1:8" x14ac:dyDescent="0.2">
      <c r="A92" t="s">
        <v>63</v>
      </c>
      <c r="B92" s="2" t="s">
        <v>20</v>
      </c>
      <c r="C92" s="3">
        <v>10</v>
      </c>
      <c r="D92" s="4">
        <f>IF(B92="", "",VLOOKUP(Table1345[[#This Row],[Resource]], $L$2:$M$6,2,FALSE))</f>
        <v>70</v>
      </c>
      <c r="E92" s="4">
        <f>IF(C92="","",Table1345[[#This Row],[Effort Estimate per Role (hours)]]*Table1345[[#This Row],[Hourly Rate]])</f>
        <v>700</v>
      </c>
      <c r="F92" s="4">
        <f>IF(D92="","",Table1345[[#This Row],[Effort Estimate per Role (hours)]]*Table1345[[#This Row],[Hourly Rate]])</f>
        <v>700</v>
      </c>
      <c r="G92" s="4">
        <f>IF(E92="","",Table1345[[#This Row],[Effort Estimate per Role (hours)]]*Table1345[[#This Row],[Hourly Rate]])</f>
        <v>700</v>
      </c>
      <c r="H92" s="3"/>
    </row>
    <row r="93" spans="1:8" x14ac:dyDescent="0.2">
      <c r="B93" s="2" t="s">
        <v>66</v>
      </c>
      <c r="C93" s="3">
        <v>8</v>
      </c>
      <c r="D93" s="4">
        <f>IF(B93="", "",VLOOKUP(Table1345[[#This Row],[Resource]], $L$2:$M$6,2,FALSE))</f>
        <v>150</v>
      </c>
      <c r="E93" s="4">
        <f>IF(C93="","",Table1345[[#This Row],[Effort Estimate per Role (hours)]]*Table1345[[#This Row],[Hourly Rate]])</f>
        <v>1200</v>
      </c>
      <c r="F93" s="4">
        <f>IF(D93="","",Table1345[[#This Row],[Effort Estimate per Role (hours)]]*Table1345[[#This Row],[Hourly Rate]])</f>
        <v>1200</v>
      </c>
      <c r="G93" s="4">
        <f>IF(E93="","",Table1345[[#This Row],[Effort Estimate per Role (hours)]]*Table1345[[#This Row],[Hourly Rate]])</f>
        <v>1200</v>
      </c>
      <c r="H93" s="3"/>
    </row>
    <row r="94" spans="1:8" x14ac:dyDescent="0.2">
      <c r="A94" s="15" t="s">
        <v>15</v>
      </c>
      <c r="B94" s="16"/>
      <c r="C94" s="17"/>
      <c r="D94" s="17" t="str">
        <f>IF(B94="", "",VLOOKUP(Table1345[[#This Row],[Resource]], $L$2:$M$6,2,FALSE))</f>
        <v/>
      </c>
      <c r="E94" s="17" t="str">
        <f>IF(C94="","",Table1345[[#This Row],[Effort Estimate per Role (hours)]]*Table1345[[#This Row],[Hourly Rate]])</f>
        <v/>
      </c>
      <c r="F94" s="19">
        <f>SUM(F92:F93)</f>
        <v>1900</v>
      </c>
      <c r="G94" s="18"/>
      <c r="H94" s="18"/>
    </row>
    <row r="95" spans="1:8" x14ac:dyDescent="0.2">
      <c r="A95" t="s">
        <v>64</v>
      </c>
      <c r="B95" s="2" t="s">
        <v>20</v>
      </c>
      <c r="C95" s="3">
        <v>30</v>
      </c>
      <c r="D95" s="4">
        <f>IF(B95="", "",VLOOKUP(Table1345[[#This Row],[Resource]], $L$2:$M$6,2,FALSE))</f>
        <v>70</v>
      </c>
      <c r="E95" s="4">
        <f>IF(C95="","",Table1345[[#This Row],[Effort Estimate per Role (hours)]]*Table1345[[#This Row],[Hourly Rate]])</f>
        <v>2100</v>
      </c>
      <c r="F95" s="4">
        <f>IF(D95="","",Table1345[[#This Row],[Effort Estimate per Role (hours)]]*Table1345[[#This Row],[Hourly Rate]])</f>
        <v>2100</v>
      </c>
      <c r="G95" s="4">
        <f>IF(E95="","",Table1345[[#This Row],[Effort Estimate per Role (hours)]]*Table1345[[#This Row],[Hourly Rate]])</f>
        <v>2100</v>
      </c>
      <c r="H95" s="3"/>
    </row>
    <row r="96" spans="1:8" x14ac:dyDescent="0.2">
      <c r="A96" t="s">
        <v>65</v>
      </c>
      <c r="B96" s="2" t="s">
        <v>20</v>
      </c>
      <c r="C96" s="3">
        <v>10</v>
      </c>
      <c r="D96" s="4">
        <f>IF(B96="", "",VLOOKUP(Table1345[[#This Row],[Resource]], $L$2:$M$6,2,FALSE))</f>
        <v>70</v>
      </c>
      <c r="E96" s="4">
        <f>IF(C96="","",Table1345[[#This Row],[Effort Estimate per Role (hours)]]*Table1345[[#This Row],[Hourly Rate]])</f>
        <v>700</v>
      </c>
      <c r="F96" s="4">
        <f>IF(D96="","",Table1345[[#This Row],[Effort Estimate per Role (hours)]]*Table1345[[#This Row],[Hourly Rate]])</f>
        <v>700</v>
      </c>
      <c r="G96" s="4">
        <f>IF(E96="","",Table1345[[#This Row],[Effort Estimate per Role (hours)]]*Table1345[[#This Row],[Hourly Rate]])</f>
        <v>700</v>
      </c>
      <c r="H96" s="3"/>
    </row>
    <row r="97" spans="1:8" x14ac:dyDescent="0.2">
      <c r="A97" s="10" t="s">
        <v>14</v>
      </c>
      <c r="B97" s="11"/>
      <c r="C97" s="8"/>
      <c r="D97" s="9"/>
      <c r="E97" s="9"/>
      <c r="F97" s="9"/>
      <c r="G97" s="12">
        <f>SUM(G87:G96)</f>
        <v>10400</v>
      </c>
      <c r="H97" s="20">
        <f>Table1345[[#This Row],[Cost per Phase]]/J1</f>
        <v>4.1599999999999998E-2</v>
      </c>
    </row>
    <row r="98" spans="1:8" x14ac:dyDescent="0.2">
      <c r="A98" s="34" t="s">
        <v>70</v>
      </c>
      <c r="B98" s="22"/>
      <c r="C98" s="23"/>
      <c r="D98" s="24"/>
      <c r="E98" s="24"/>
      <c r="F98" s="24"/>
      <c r="G98" s="30">
        <v>50000</v>
      </c>
      <c r="H98" s="31">
        <f>Table1345[[#This Row],[Cost per Phase]]/J1</f>
        <v>0.2</v>
      </c>
    </row>
    <row r="99" spans="1:8" x14ac:dyDescent="0.2">
      <c r="A99" s="25" t="s">
        <v>16</v>
      </c>
      <c r="B99" s="22"/>
      <c r="C99" s="23"/>
      <c r="D99" s="24"/>
      <c r="E99" s="24"/>
      <c r="F99" s="24"/>
      <c r="G99" s="30">
        <v>25000</v>
      </c>
      <c r="H99" s="31">
        <f>Table1345[[#This Row],[Cost per Phase]]/J1</f>
        <v>0.1</v>
      </c>
    </row>
    <row r="100" spans="1:8" x14ac:dyDescent="0.2">
      <c r="A100" s="26" t="s">
        <v>18</v>
      </c>
      <c r="B100" s="27"/>
      <c r="C100" s="28"/>
      <c r="D100" s="29"/>
      <c r="E100" s="29"/>
      <c r="F100" s="29"/>
      <c r="G100" s="32">
        <f>SUM(G11+G31+G51+G70+G85+G97+G98+G99)</f>
        <v>248250</v>
      </c>
      <c r="H100" s="36">
        <f>Table1345[[#This Row],[Cost per Phase]]/J1</f>
        <v>0.99299999999999999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CostEstimate_Template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Gongati</dc:creator>
  <cp:lastModifiedBy>Hua, Hong Lien</cp:lastModifiedBy>
  <dcterms:created xsi:type="dcterms:W3CDTF">2024-03-21T02:48:02Z</dcterms:created>
  <dcterms:modified xsi:type="dcterms:W3CDTF">2026-03-29T05:10:51Z</dcterms:modified>
</cp:coreProperties>
</file>